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Assessment Tracker" sheetId="2" state="visible" r:id="rId2"/>
    <sheet xmlns:r="http://schemas.openxmlformats.org/officeDocument/2006/relationships" name="📁 Risk Register" sheetId="3" state="visible" r:id="rId3"/>
    <sheet xmlns:r="http://schemas.openxmlformats.org/officeDocument/2006/relationships" name="📅 Review Calendar" sheetId="4" state="visible" r:id="rId4"/>
    <sheet xmlns:r="http://schemas.openxmlformats.org/officeDocument/2006/relationships" name="📖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2">
    <font>
      <name val="Calibri"/>
      <family val="2"/>
      <color theme="1"/>
      <sz val="11"/>
      <scheme val="minor"/>
    </font>
    <font>
      <name val="Calibri"/>
      <b val="1"/>
      <color rgb="0000C8DC"/>
      <sz val="16"/>
    </font>
    <font>
      <name val="Calibri"/>
      <b val="1"/>
      <color rgb="001B2A6B"/>
      <sz val="9"/>
    </font>
    <font>
      <name val="Calibri"/>
      <b val="1"/>
      <color rgb="00FFFFFF"/>
      <sz val="8.5"/>
    </font>
    <font>
      <name val="Calibri"/>
      <b val="1"/>
      <color rgb="00FFFFFF"/>
      <sz val="24"/>
    </font>
    <font>
      <name val="Calibri"/>
      <color rgb="001B2A6B"/>
      <sz val="7.5"/>
    </font>
    <font>
      <name val="Calibri"/>
      <color rgb="00B71C1C"/>
      <sz val="7.5"/>
    </font>
    <font>
      <name val="Calibri"/>
      <color rgb="00E65100"/>
      <sz val="7.5"/>
    </font>
    <font>
      <name val="Calibri"/>
      <color rgb="001B5E20"/>
      <sz val="7.5"/>
    </font>
    <font>
      <name val="Calibri"/>
      <color rgb="004A148C"/>
      <sz val="7.5"/>
    </font>
    <font>
      <name val="Calibri"/>
      <b val="1"/>
      <color rgb="0000C8DC"/>
      <sz val="11"/>
    </font>
    <font>
      <name val="Calibri"/>
      <color rgb="001A1A2E"/>
      <sz val="9"/>
    </font>
    <font>
      <name val="Calibri"/>
      <b val="1"/>
      <color rgb="001B5E20"/>
      <sz val="9"/>
    </font>
    <font>
      <name val="Calibri"/>
      <i val="1"/>
      <color rgb="001B5E20"/>
      <sz val="8"/>
    </font>
    <font>
      <name val="Calibri"/>
      <b val="1"/>
      <color rgb="00E65100"/>
      <sz val="9"/>
    </font>
    <font>
      <name val="Calibri"/>
      <i val="1"/>
      <color rgb="00E65100"/>
      <sz val="8"/>
    </font>
    <font>
      <name val="Calibri"/>
      <b val="1"/>
      <color rgb="00B71C1C"/>
      <sz val="9"/>
    </font>
    <font>
      <name val="Calibri"/>
      <i val="1"/>
      <color rgb="00B71C1C"/>
      <sz val="8"/>
    </font>
    <font>
      <name val="Calibri"/>
      <b val="1"/>
      <color rgb="004A148C"/>
      <sz val="9"/>
    </font>
    <font>
      <name val="Calibri"/>
      <i val="1"/>
      <color rgb="004A148C"/>
      <sz val="8"/>
    </font>
    <font>
      <name val="Calibri"/>
      <b val="1"/>
      <color rgb="0000C8DC"/>
      <sz val="14"/>
    </font>
    <font>
      <name val="Calibri"/>
      <i val="1"/>
      <color rgb="001B2A6B"/>
      <sz val="9"/>
    </font>
    <font>
      <name val="Calibri"/>
      <b val="1"/>
      <color rgb="001B2A6B"/>
      <sz val="9.5"/>
    </font>
    <font>
      <name val="Calibri"/>
      <b val="1"/>
      <color rgb="00B71C1C"/>
      <sz val="11"/>
    </font>
    <font>
      <name val="Calibri"/>
      <b val="1"/>
      <color rgb="00FFFFFF"/>
      <sz val="9"/>
    </font>
    <font>
      <name val="Calibri"/>
      <color rgb="00607D8B"/>
      <sz val="9"/>
    </font>
    <font>
      <name val="Calibri"/>
      <b val="1"/>
      <color rgb="0000C8DC"/>
      <sz val="13"/>
    </font>
    <font>
      <name val="Calibri"/>
      <b val="1"/>
      <color rgb="001B2A6B"/>
      <sz val="11"/>
    </font>
    <font>
      <name val="Calibri"/>
      <b val="1"/>
      <color rgb="001B2A6B"/>
      <sz val="8.5"/>
    </font>
    <font>
      <name val="Calibri"/>
      <b val="1"/>
      <color rgb="00000000"/>
      <sz val="10"/>
    </font>
    <font>
      <name val="Calibri"/>
      <b val="1"/>
      <color rgb="001B2A6B"/>
      <sz val="10"/>
    </font>
    <font>
      <name val="Calibri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1B2A6B"/>
      </patternFill>
    </fill>
    <fill>
      <patternFill patternType="solid">
        <fgColor rgb="0000C8DC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C8DCF5"/>
      </patternFill>
    </fill>
    <fill>
      <patternFill patternType="solid">
        <fgColor rgb="00EFF4FF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FF176"/>
      </patternFill>
    </fill>
    <fill>
      <patternFill patternType="solid">
        <fgColor rgb="00C8E6C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 wrapText="1"/>
    </xf>
    <xf numFmtId="0" fontId="2" fillId="12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164" fontId="11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 wrapText="1"/>
    </xf>
    <xf numFmtId="0" fontId="11" fillId="14" borderId="2" applyAlignment="1" pivotButton="0" quotePrefix="0" xfId="0">
      <alignment horizontal="center" vertical="center"/>
    </xf>
    <xf numFmtId="164" fontId="11" fillId="14" borderId="2" applyAlignment="1" pivotButton="0" quotePrefix="0" xfId="0">
      <alignment horizontal="center" vertical="center"/>
    </xf>
    <xf numFmtId="0" fontId="0" fillId="14" borderId="2" applyAlignment="1" pivotButton="0" quotePrefix="0" xfId="0">
      <alignment horizontal="left" vertical="center" wrapText="1"/>
    </xf>
    <xf numFmtId="0" fontId="14" fillId="15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center" vertical="center"/>
    </xf>
    <xf numFmtId="0" fontId="14" fillId="15" borderId="2" applyAlignment="1" pivotButton="0" quotePrefix="0" xfId="0">
      <alignment horizontal="center" vertical="center"/>
    </xf>
    <xf numFmtId="0" fontId="16" fillId="16" borderId="2" applyAlignment="1" pivotButton="0" quotePrefix="0" xfId="0">
      <alignment horizontal="center" vertical="center"/>
    </xf>
    <xf numFmtId="0" fontId="18" fillId="11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 wrapText="1"/>
    </xf>
    <xf numFmtId="0" fontId="15" fillId="15" borderId="2" applyAlignment="1" pivotButton="0" quotePrefix="0" xfId="0">
      <alignment horizontal="center" vertical="center" wrapText="1"/>
    </xf>
    <xf numFmtId="0" fontId="17" fillId="16" borderId="2" applyAlignment="1" pivotButton="0" quotePrefix="0" xfId="0">
      <alignment horizontal="center" vertical="center" wrapText="1"/>
    </xf>
    <xf numFmtId="0" fontId="19" fillId="11" borderId="2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/>
    </xf>
    <xf numFmtId="0" fontId="21" fillId="12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4" fillId="2" borderId="1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25" fillId="13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25" fillId="14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26" fillId="2" borderId="0" applyAlignment="1" pivotButton="0" quotePrefix="0" xfId="0">
      <alignment horizontal="center" vertical="center"/>
    </xf>
    <xf numFmtId="0" fontId="21" fillId="12" borderId="0" applyAlignment="1" pivotButton="0" quotePrefix="0" xfId="0">
      <alignment horizontal="left" vertical="center"/>
    </xf>
    <xf numFmtId="0" fontId="2" fillId="12" borderId="2" applyAlignment="1" pivotButton="0" quotePrefix="0" xfId="0">
      <alignment horizontal="center" vertical="center"/>
    </xf>
    <xf numFmtId="0" fontId="0" fillId="13" borderId="2" pivotButton="0" quotePrefix="0" xfId="0"/>
    <xf numFmtId="0" fontId="0" fillId="14" borderId="2" pivotButton="0" quotePrefix="0" xfId="0"/>
    <xf numFmtId="0" fontId="2" fillId="3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0" fontId="30" fillId="12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2" fillId="12" borderId="2" pivotButton="0" quotePrefix="0" xfId="0"/>
    <xf numFmtId="0" fontId="28" fillId="12" borderId="2" applyAlignment="1" pivotButton="0" quotePrefix="0" xfId="0">
      <alignment horizontal="center" vertical="center" wrapText="1"/>
    </xf>
    <xf numFmtId="0" fontId="29" fillId="17" borderId="2" applyAlignment="1" pivotButton="0" quotePrefix="0" xfId="0">
      <alignment horizontal="center" vertical="center"/>
    </xf>
    <xf numFmtId="0" fontId="29" fillId="5" borderId="2" applyAlignment="1" pivotButton="0" quotePrefix="0" xfId="0">
      <alignment horizontal="center" vertical="center"/>
    </xf>
    <xf numFmtId="0" fontId="31" fillId="13" borderId="2" pivotButton="0" quotePrefix="0" xfId="0"/>
    <xf numFmtId="0" fontId="29" fillId="18" borderId="2" applyAlignment="1" pivotButton="0" quotePrefix="0" xfId="0">
      <alignment horizontal="center" vertical="center"/>
    </xf>
    <xf numFmtId="0" fontId="31" fillId="14" borderId="2" pivotButton="0" quotePrefix="0" xfId="0"/>
    <xf numFmtId="0" fontId="2" fillId="0" borderId="0" pivotButton="0" quotePrefix="0" xfId="0"/>
    <xf numFmtId="0" fontId="12" fillId="9" borderId="2" applyAlignment="1" pivotButton="0" quotePrefix="0" xfId="0">
      <alignment horizontal="left" vertical="center"/>
    </xf>
    <xf numFmtId="0" fontId="14" fillId="15" borderId="2" applyAlignment="1" pivotButton="0" quotePrefix="0" xfId="0">
      <alignment horizontal="left" vertical="center"/>
    </xf>
    <xf numFmtId="0" fontId="16" fillId="16" borderId="2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name val="Calibri"/>
        <b val="1"/>
        <color rgb="001B5E20"/>
        <sz val="9"/>
      </font>
      <fill>
        <patternFill patternType="solid">
          <fgColor rgb="00E8F5E9"/>
        </patternFill>
      </fill>
    </dxf>
    <dxf>
      <font>
        <name val="Calibri"/>
        <b val="1"/>
        <color rgb="00E65100"/>
        <sz val="9"/>
      </font>
      <fill>
        <patternFill patternType="solid">
          <fgColor rgb="00FFF8E1"/>
        </patternFill>
      </fill>
    </dxf>
    <dxf>
      <font>
        <name val="Calibri"/>
        <b val="1"/>
        <color rgb="00B71C1C"/>
        <sz val="9"/>
      </font>
      <fill>
        <patternFill patternType="solid">
          <fgColor rgb="00FFEBEE"/>
        </patternFill>
      </fill>
    </dxf>
    <dxf>
      <font>
        <name val="Calibri"/>
        <color rgb="001B5E20"/>
        <sz val="9"/>
      </font>
      <fill>
        <patternFill patternType="solid">
          <fgColor rgb="00E8F5E9"/>
        </patternFill>
      </fill>
    </dxf>
    <dxf>
      <font>
        <name val="Calibri"/>
        <color rgb="00E65100"/>
        <sz val="9"/>
      </font>
      <fill>
        <patternFill patternType="solid">
          <fgColor rgb="00FFF8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6B"/>
    <outlinePr summaryBelow="1" summaryRight="1"/>
    <pageSetUpPr/>
  </sheetPr>
  <dimension ref="B1:O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" customWidth="1" min="9" max="9"/>
    <col width="2" customWidth="1" min="10" max="10"/>
    <col width="28" customWidth="1" min="11" max="11"/>
    <col width="14" customWidth="1" min="12" max="12"/>
    <col width="12" customWidth="1" min="13" max="13"/>
    <col width="14" customWidth="1" min="14" max="14"/>
    <col width="12" customWidth="1" min="15" max="15"/>
  </cols>
  <sheetData>
    <row r="1" ht="36" customHeight="1">
      <c r="B1" s="1" t="inlineStr">
        <is>
          <t>EVOLVE EDGE  |  AI Risk Assessment Dashboard</t>
        </is>
      </c>
    </row>
    <row r="2" ht="18" customHeight="1">
      <c r="B2" s="2" t="inlineStr">
        <is>
          <t>Enterprise AI Governance Tracker  ·  Auto-calculated from Assessment Tracker</t>
        </is>
      </c>
    </row>
    <row r="3" ht="8" customHeight="1"/>
    <row r="4" ht="20" customHeight="1">
      <c r="B4" s="3" t="inlineStr">
        <is>
          <t>Total AI Systems</t>
        </is>
      </c>
      <c r="E4" s="4" t="inlineStr">
        <is>
          <t>High Risk Systems</t>
        </is>
      </c>
      <c r="H4" s="5" t="inlineStr">
        <is>
          <t>Medium Risk Systems</t>
        </is>
      </c>
      <c r="K4" s="6" t="inlineStr">
        <is>
          <t>Low Risk Systems</t>
        </is>
      </c>
      <c r="N4" s="7" t="inlineStr">
        <is>
          <t>Overdue Reviews</t>
        </is>
      </c>
    </row>
    <row r="5" ht="32" customHeight="1">
      <c r="B5" s="8">
        <f>'📋 Assessment Tracker'!B4</f>
        <v/>
      </c>
      <c r="E5" s="9">
        <f>COUNTIF('📋 Assessment Tracker'!J5:J200,"High")+COUNTIF('📋 Assessment Tracker'!J5:J200,"Critical")</f>
        <v/>
      </c>
      <c r="H5" s="10">
        <f>COUNTIF('📋 Assessment Tracker'!J5:J200,"Medium")</f>
        <v/>
      </c>
      <c r="K5" s="11">
        <f>COUNTIF('📋 Assessment Tracker'!J5:J200,"Low")</f>
        <v/>
      </c>
      <c r="N5" s="12">
        <f>COUNTIF('📋 Assessment Tracker'!P5:P200,"Overdue")</f>
        <v/>
      </c>
    </row>
    <row r="6" ht="24" customHeight="1">
      <c r="B6" s="13" t="inlineStr">
        <is>
          <t>Live count ↑</t>
        </is>
      </c>
      <c r="E6" s="14" t="inlineStr">
        <is>
          <t>Live count ↑</t>
        </is>
      </c>
      <c r="H6" s="15" t="inlineStr">
        <is>
          <t>Live count ↑</t>
        </is>
      </c>
      <c r="K6" s="16" t="inlineStr">
        <is>
          <t>Live count ↑</t>
        </is>
      </c>
      <c r="N6" s="17" t="inlineStr">
        <is>
          <t>Live count ↑</t>
        </is>
      </c>
    </row>
    <row r="7" ht="10" customHeight="1"/>
    <row r="8" ht="22" customHeight="1">
      <c r="B8" s="18" t="inlineStr">
        <is>
          <t>RISK SUMMARY BY DEPARTMENT</t>
        </is>
      </c>
      <c r="J8" s="18" t="inlineStr">
        <is>
          <t>HOW TO USE THIS TRACKER</t>
        </is>
      </c>
    </row>
    <row r="9" ht="18" customHeight="1">
      <c r="B9" s="19" t="inlineStr">
        <is>
          <t>Department</t>
        </is>
      </c>
      <c r="C9" s="19" t="inlineStr">
        <is>
          <t>Total Systems</t>
        </is>
      </c>
      <c r="D9" s="19" t="inlineStr">
        <is>
          <t>Low</t>
        </is>
      </c>
      <c r="E9" s="19" t="inlineStr">
        <is>
          <t>Medium</t>
        </is>
      </c>
      <c r="F9" s="19" t="inlineStr">
        <is>
          <t>High</t>
        </is>
      </c>
      <c r="G9" s="19" t="inlineStr">
        <is>
          <t>Critical</t>
        </is>
      </c>
      <c r="H9" s="19" t="inlineStr">
        <is>
          <t>Avg Score</t>
        </is>
      </c>
      <c r="J9" s="20" t="inlineStr">
        <is>
          <t>1. Open the '📋 Assessment Tracker' sheet</t>
        </is>
      </c>
    </row>
    <row r="10" ht="18" customHeight="1">
      <c r="B10" s="21" t="inlineStr">
        <is>
          <t>Finance</t>
        </is>
      </c>
      <c r="C10" s="22" t="n">
        <v>0</v>
      </c>
      <c r="D10" s="22" t="n">
        <v>0</v>
      </c>
      <c r="E10" s="22" t="n">
        <v>0</v>
      </c>
      <c r="F10" s="22" t="n">
        <v>0</v>
      </c>
      <c r="G10" s="22" t="n">
        <v>0</v>
      </c>
      <c r="H10" s="23" t="n">
        <v>0</v>
      </c>
      <c r="J10" s="24" t="inlineStr">
        <is>
          <t>2. Add each AI system as a new row (Row 5 onwards)</t>
        </is>
      </c>
    </row>
    <row r="11" ht="18" customHeight="1">
      <c r="B11" s="21" t="inlineStr">
        <is>
          <t>HR / People</t>
        </is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6" t="n">
        <v>0</v>
      </c>
      <c r="J11" s="20" t="inlineStr">
        <is>
          <t>3. Fill in all columns — dropdowns guide valid values</t>
        </is>
      </c>
    </row>
    <row r="12" ht="18" customHeight="1">
      <c r="B12" s="21" t="inlineStr">
        <is>
          <t>Customer Service</t>
        </is>
      </c>
      <c r="C12" s="22" t="n">
        <v>0</v>
      </c>
      <c r="D12" s="22" t="n">
        <v>0</v>
      </c>
      <c r="E12" s="22" t="n">
        <v>0</v>
      </c>
      <c r="F12" s="22" t="n">
        <v>0</v>
      </c>
      <c r="G12" s="22" t="n">
        <v>0</v>
      </c>
      <c r="H12" s="23" t="n">
        <v>0</v>
      </c>
      <c r="J12" s="24" t="inlineStr">
        <is>
          <t>4. Risk Score auto-calculates (Likelihood × Impact)</t>
        </is>
      </c>
    </row>
    <row r="13" ht="18" customHeight="1">
      <c r="B13" s="21" t="inlineStr">
        <is>
          <t>Operations</t>
        </is>
      </c>
      <c r="C13" s="25" t="n">
        <v>0</v>
      </c>
      <c r="D13" s="25" t="n">
        <v>0</v>
      </c>
      <c r="E13" s="25" t="n">
        <v>0</v>
      </c>
      <c r="F13" s="25" t="n">
        <v>0</v>
      </c>
      <c r="G13" s="25" t="n">
        <v>0</v>
      </c>
      <c r="H13" s="26" t="n">
        <v>0</v>
      </c>
      <c r="J13" s="20" t="inlineStr">
        <is>
          <t>5. Status indicators update automatically via formulas</t>
        </is>
      </c>
    </row>
    <row r="14" ht="18" customHeight="1">
      <c r="B14" s="21" t="inlineStr">
        <is>
          <t>IT / Technology</t>
        </is>
      </c>
      <c r="C14" s="22" t="n">
        <v>0</v>
      </c>
      <c r="D14" s="22" t="n">
        <v>0</v>
      </c>
      <c r="E14" s="22" t="n">
        <v>0</v>
      </c>
      <c r="F14" s="22" t="n">
        <v>0</v>
      </c>
      <c r="G14" s="22" t="n">
        <v>0</v>
      </c>
      <c r="H14" s="23" t="n">
        <v>0</v>
      </c>
      <c r="J14" s="24" t="inlineStr">
        <is>
          <t>6. This Dashboard updates automatically as you add data</t>
        </is>
      </c>
    </row>
    <row r="15" ht="18" customHeight="1">
      <c r="B15" s="21" t="inlineStr">
        <is>
          <t>Legal / Compliance</t>
        </is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0</v>
      </c>
      <c r="H15" s="26" t="n">
        <v>0</v>
      </c>
      <c r="J15" s="20" t="inlineStr">
        <is>
          <t>7. Use '📁 Risk Register' to log incidents &amp; changes</t>
        </is>
      </c>
    </row>
    <row r="16" ht="18" customHeight="1">
      <c r="B16" s="21" t="inlineStr">
        <is>
          <t>Marketing</t>
        </is>
      </c>
      <c r="C16" s="22" t="n">
        <v>0</v>
      </c>
      <c r="D16" s="22" t="n">
        <v>0</v>
      </c>
      <c r="E16" s="22" t="n">
        <v>0</v>
      </c>
      <c r="F16" s="22" t="n">
        <v>0</v>
      </c>
      <c r="G16" s="22" t="n">
        <v>0</v>
      </c>
      <c r="H16" s="23" t="n">
        <v>0</v>
      </c>
      <c r="J16" s="24" t="inlineStr">
        <is>
          <t>8. Review and update at least quarterly</t>
        </is>
      </c>
    </row>
    <row r="17" ht="18" customHeight="1">
      <c r="J17" s="27" t="inlineStr"/>
    </row>
    <row r="18" ht="18" customHeight="1">
      <c r="B18" s="18" t="inlineStr">
        <is>
          <t>STATUS INDICATOR LEGEND</t>
        </is>
      </c>
      <c r="J18" s="28" t="inlineStr">
        <is>
          <t>⚠️  Do not delete rows 1–4 in any sheet</t>
        </is>
      </c>
    </row>
    <row r="19" ht="18" customHeight="1">
      <c r="B19" s="29" t="inlineStr">
        <is>
          <t>🟢  Low (1–4)</t>
        </is>
      </c>
      <c r="D19" s="30" t="inlineStr">
        <is>
          <t>🟡  Medium (5–12)</t>
        </is>
      </c>
      <c r="F19" s="31" t="inlineStr">
        <is>
          <t>🔴  High (13–25)</t>
        </is>
      </c>
      <c r="H19" s="32" t="inlineStr">
        <is>
          <t>🟣  Overdue</t>
        </is>
      </c>
      <c r="J19" s="28" t="inlineStr">
        <is>
          <t>⚠️  Protect sheets before distributing</t>
        </is>
      </c>
    </row>
    <row r="20" ht="22" customHeight="1">
      <c r="B20" s="33" t="inlineStr">
        <is>
          <t>Accept and monitor annually</t>
        </is>
      </c>
      <c r="D20" s="34" t="inlineStr">
        <is>
          <t>Mitigate and monitor quarterly</t>
        </is>
      </c>
      <c r="F20" s="35" t="inlineStr">
        <is>
          <t>Immediate action required</t>
        </is>
      </c>
      <c r="H20" s="36" t="inlineStr">
        <is>
          <t>Review date has passed</t>
        </is>
      </c>
    </row>
  </sheetData>
  <mergeCells count="39">
    <mergeCell ref="D20:E20"/>
    <mergeCell ref="J15:O15"/>
    <mergeCell ref="D19:E19"/>
    <mergeCell ref="F19:G19"/>
    <mergeCell ref="J11:O11"/>
    <mergeCell ref="E6:G6"/>
    <mergeCell ref="J16:O16"/>
    <mergeCell ref="B2:O2"/>
    <mergeCell ref="F20:G20"/>
    <mergeCell ref="H20"/>
    <mergeCell ref="N5:O5"/>
    <mergeCell ref="B6:D6"/>
    <mergeCell ref="J12:O12"/>
    <mergeCell ref="B1:O1"/>
    <mergeCell ref="B5:D5"/>
    <mergeCell ref="B18:H18"/>
    <mergeCell ref="K4:M4"/>
    <mergeCell ref="K6:M6"/>
    <mergeCell ref="H5:J5"/>
    <mergeCell ref="B19:C19"/>
    <mergeCell ref="B4:D4"/>
    <mergeCell ref="J18:O18"/>
    <mergeCell ref="J17:O17"/>
    <mergeCell ref="J8:O8"/>
    <mergeCell ref="B8:H8"/>
    <mergeCell ref="J14:O14"/>
    <mergeCell ref="J19:O19"/>
    <mergeCell ref="E5:G5"/>
    <mergeCell ref="K5:M5"/>
    <mergeCell ref="N6:O6"/>
    <mergeCell ref="B20:C20"/>
    <mergeCell ref="J10:O10"/>
    <mergeCell ref="H4:J4"/>
    <mergeCell ref="J13:O13"/>
    <mergeCell ref="E4:G4"/>
    <mergeCell ref="J9:O9"/>
    <mergeCell ref="H19"/>
    <mergeCell ref="N4:O4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8DC"/>
    <outlinePr summaryBelow="1" summaryRight="1"/>
    <pageSetUpPr/>
  </sheetPr>
  <dimension ref="A1:S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7" customWidth="1" min="4" max="4"/>
    <col width="18" customWidth="1" min="5" max="5"/>
    <col width="18" customWidth="1" min="6" max="6"/>
    <col width="30" customWidth="1" min="7" max="7"/>
    <col width="14" customWidth="1" min="8" max="8"/>
    <col width="12" customWidth="1" min="9" max="9"/>
    <col width="13" customWidth="1" min="10" max="10"/>
    <col width="13" customWidth="1" min="11" max="11"/>
    <col width="18" customWidth="1" min="12" max="12"/>
    <col width="30" customWidth="1" min="13" max="13"/>
    <col width="15" customWidth="1" min="14" max="14"/>
    <col width="13" customWidth="1" min="15" max="15"/>
    <col width="13" customWidth="1" min="16" max="16"/>
    <col width="13" customWidth="1" min="17" max="17"/>
    <col width="13" customWidth="1" min="18" max="18"/>
    <col width="28" customWidth="1" min="19" max="19"/>
  </cols>
  <sheetData>
    <row r="1" ht="32" customHeight="1">
      <c r="A1" s="37" t="inlineStr">
        <is>
          <t>EVOLVE EDGE  |  AI Risk Assessment Tracker</t>
        </is>
      </c>
    </row>
    <row r="2" ht="20" customHeight="1">
      <c r="A2" s="38" t="inlineStr">
        <is>
          <t>Instructions: Fill one row per AI system. Columns D &amp; E are mandatory. Risk Score (Col I) calculates automatically. Status (Col P) auto-updates.</t>
        </is>
      </c>
    </row>
    <row r="3" ht="6" customHeight="1"/>
    <row r="4" ht="20" customHeight="1">
      <c r="A4" s="39" t="inlineStr">
        <is>
          <t>Total AI Systems Registered:</t>
        </is>
      </c>
      <c r="B4" s="40">
        <f>COUNTA(B5:B1000)</f>
        <v/>
      </c>
    </row>
    <row r="5" ht="30" customHeight="1">
      <c r="A5" s="41" t="inlineStr">
        <is>
          <t>#</t>
        </is>
      </c>
      <c r="B5" s="41" t="inlineStr">
        <is>
          <t>AI System Name</t>
        </is>
      </c>
      <c r="C5" s="41" t="inlineStr">
        <is>
          <t>Version / Model</t>
        </is>
      </c>
      <c r="D5" s="41" t="inlineStr">
        <is>
          <t>Department</t>
        </is>
      </c>
      <c r="E5" s="41" t="inlineStr">
        <is>
          <t>Business Owner</t>
        </is>
      </c>
      <c r="F5" s="41" t="inlineStr">
        <is>
          <t>Technical Owner</t>
        </is>
      </c>
      <c r="G5" s="41" t="inlineStr">
        <is>
          <t>Purpose / Use Case</t>
        </is>
      </c>
      <c r="H5" s="41" t="inlineStr">
        <is>
          <t>Likelihood (1–5)</t>
        </is>
      </c>
      <c r="I5" s="41" t="inlineStr">
        <is>
          <t>Impact (1–5)</t>
        </is>
      </c>
      <c r="J5" s="41" t="inlineStr">
        <is>
          <t>Risk Score (Auto)</t>
        </is>
      </c>
      <c r="K5" s="41" t="inlineStr">
        <is>
          <t>Risk Level</t>
        </is>
      </c>
      <c r="L5" s="41" t="inlineStr">
        <is>
          <t>Risk Category</t>
        </is>
      </c>
      <c r="M5" s="41" t="inlineStr">
        <is>
          <t>Mitigation Summary</t>
        </is>
      </c>
      <c r="N5" s="41" t="inlineStr">
        <is>
          <t>Mitigation Status</t>
        </is>
      </c>
      <c r="O5" s="41" t="inlineStr">
        <is>
          <t>Residual Risk</t>
        </is>
      </c>
      <c r="P5" s="41" t="inlineStr">
        <is>
          <t>Review Status</t>
        </is>
      </c>
      <c r="Q5" s="41" t="inlineStr">
        <is>
          <t>Last Reviewed</t>
        </is>
      </c>
      <c r="R5" s="41" t="inlineStr">
        <is>
          <t>Next Review Due</t>
        </is>
      </c>
      <c r="S5" s="41" t="inlineStr">
        <is>
          <t>Notes / Evidence</t>
        </is>
      </c>
    </row>
    <row r="6" ht="22" customHeight="1">
      <c r="A6" s="42" t="n">
        <v>1</v>
      </c>
      <c r="B6" s="20" t="inlineStr">
        <is>
          <t>Customer Chatbot</t>
        </is>
      </c>
      <c r="C6" s="20" t="inlineStr">
        <is>
          <t>v2.1</t>
        </is>
      </c>
      <c r="D6" s="20" t="inlineStr">
        <is>
          <t>Customer Service</t>
        </is>
      </c>
      <c r="E6" s="20" t="inlineStr">
        <is>
          <t>Jane Smith</t>
        </is>
      </c>
      <c r="F6" s="20" t="inlineStr">
        <is>
          <t>Tom Lee</t>
        </is>
      </c>
      <c r="G6" s="20" t="inlineStr">
        <is>
          <t>Handles tier-1 support queries</t>
        </is>
      </c>
      <c r="H6" s="42" t="n">
        <v>2</v>
      </c>
      <c r="I6" s="42" t="n">
        <v>2</v>
      </c>
      <c r="J6" s="42">
        <f>IF(H6*I6=0,"",H6*I6)</f>
        <v/>
      </c>
      <c r="K6" s="22">
        <f>IF(J6="","",IF(J6&lt;=4,"Low",IF(J6&lt;=12,"Medium","High")))</f>
        <v/>
      </c>
      <c r="L6" s="20" t="inlineStr">
        <is>
          <t>Operational</t>
        </is>
      </c>
      <c r="M6" s="20" t="inlineStr">
        <is>
          <t>Monitor intent confidence monthly</t>
        </is>
      </c>
      <c r="N6" s="20" t="inlineStr">
        <is>
          <t>Active</t>
        </is>
      </c>
      <c r="O6" s="20" t="inlineStr">
        <is>
          <t>Low</t>
        </is>
      </c>
      <c r="P6" s="20" t="inlineStr">
        <is>
          <t>Current</t>
        </is>
      </c>
      <c r="Q6" s="42" t="inlineStr">
        <is>
          <t>19/03/2026</t>
        </is>
      </c>
      <c r="R6" s="42" t="inlineStr">
        <is>
          <t>17/06/2026</t>
        </is>
      </c>
      <c r="S6" s="20" t="inlineStr">
        <is>
          <t>Deployed Jan 2024</t>
        </is>
      </c>
    </row>
    <row r="7" ht="22" customHeight="1">
      <c r="A7" s="43" t="n">
        <v>2</v>
      </c>
      <c r="B7" s="24" t="inlineStr">
        <is>
          <t>Credit Scoring Model</t>
        </is>
      </c>
      <c r="C7" s="24" t="inlineStr">
        <is>
          <t>XGB-3.4</t>
        </is>
      </c>
      <c r="D7" s="24" t="inlineStr">
        <is>
          <t>Finance</t>
        </is>
      </c>
      <c r="E7" s="24" t="inlineStr">
        <is>
          <t>David Brown</t>
        </is>
      </c>
      <c r="F7" s="24" t="inlineStr">
        <is>
          <t>Priya Patel</t>
        </is>
      </c>
      <c r="G7" s="24" t="inlineStr">
        <is>
          <t>Automates loan approval decisions</t>
        </is>
      </c>
      <c r="H7" s="43" t="n">
        <v>4</v>
      </c>
      <c r="I7" s="43" t="n">
        <v>3</v>
      </c>
      <c r="J7" s="43">
        <f>IF(H7*I7=0,"",H7*I7)</f>
        <v/>
      </c>
      <c r="K7" s="25">
        <f>IF(J7="","",IF(J7&lt;=4,"Low",IF(J7&lt;=12,"Medium","High")))</f>
        <v/>
      </c>
      <c r="L7" s="24" t="inlineStr">
        <is>
          <t>Bias &amp; Fairness</t>
        </is>
      </c>
      <c r="M7" s="24" t="inlineStr">
        <is>
          <t>Fairness audit Q1; SHAP explainability layer active</t>
        </is>
      </c>
      <c r="N7" s="24" t="inlineStr">
        <is>
          <t>In Progress</t>
        </is>
      </c>
      <c r="O7" s="24" t="inlineStr">
        <is>
          <t>Medium</t>
        </is>
      </c>
      <c r="P7" s="24" t="inlineStr">
        <is>
          <t>Current</t>
        </is>
      </c>
      <c r="Q7" s="43" t="inlineStr">
        <is>
          <t>17/02/2026</t>
        </is>
      </c>
      <c r="R7" s="43" t="inlineStr">
        <is>
          <t>18/05/2026</t>
        </is>
      </c>
      <c r="S7" s="24" t="inlineStr">
        <is>
          <t>FCA notified</t>
        </is>
      </c>
    </row>
    <row r="8" ht="22" customHeight="1">
      <c r="A8" s="42" t="n">
        <v>3</v>
      </c>
      <c r="B8" s="20" t="inlineStr">
        <is>
          <t>HR Screening Tool</t>
        </is>
      </c>
      <c r="C8" s="20" t="inlineStr">
        <is>
          <t>ResumeScan AI</t>
        </is>
      </c>
      <c r="D8" s="20" t="inlineStr">
        <is>
          <t>HR / People</t>
        </is>
      </c>
      <c r="E8" s="20" t="inlineStr">
        <is>
          <t>Claire Moss</t>
        </is>
      </c>
      <c r="F8" s="20" t="inlineStr">
        <is>
          <t>James Wu</t>
        </is>
      </c>
      <c r="G8" s="20" t="inlineStr">
        <is>
          <t>Pre-screens CVs for shortlisting</t>
        </is>
      </c>
      <c r="H8" s="42" t="n">
        <v>4</v>
      </c>
      <c r="I8" s="42" t="n">
        <v>4</v>
      </c>
      <c r="J8" s="42">
        <f>IF(H8*I8=0,"",H8*I8)</f>
        <v/>
      </c>
      <c r="K8" s="22">
        <f>IF(J8="","",IF(J8&lt;=4,"Low",IF(J8&lt;=12,"Medium","High")))</f>
        <v/>
      </c>
      <c r="L8" s="20" t="inlineStr">
        <is>
          <t>Bias &amp; Fairness</t>
        </is>
      </c>
      <c r="M8" s="20" t="inlineStr">
        <is>
          <t>Re-weighted training data; human review for all declines</t>
        </is>
      </c>
      <c r="N8" s="20" t="inlineStr">
        <is>
          <t>Completed</t>
        </is>
      </c>
      <c r="O8" s="20" t="inlineStr">
        <is>
          <t>High</t>
        </is>
      </c>
      <c r="P8" s="20" t="inlineStr">
        <is>
          <t>Current</t>
        </is>
      </c>
      <c r="Q8" s="42" t="inlineStr">
        <is>
          <t>18/01/2026</t>
        </is>
      </c>
      <c r="R8" s="42" t="inlineStr">
        <is>
          <t>18/04/2026</t>
        </is>
      </c>
      <c r="S8" s="20" t="inlineStr">
        <is>
          <t>Ethics board review pending</t>
        </is>
      </c>
    </row>
    <row r="9" ht="22" customHeight="1">
      <c r="A9" s="43" t="n">
        <v>4</v>
      </c>
      <c r="B9" s="24" t="inlineStr">
        <is>
          <t>Demand Forecasting</t>
        </is>
      </c>
      <c r="C9" s="24" t="inlineStr">
        <is>
          <t>Prophet v1.2</t>
        </is>
      </c>
      <c r="D9" s="24" t="inlineStr">
        <is>
          <t>Operations</t>
        </is>
      </c>
      <c r="E9" s="24" t="inlineStr">
        <is>
          <t>Mark Evans</t>
        </is>
      </c>
      <c r="F9" s="24" t="inlineStr">
        <is>
          <t>Sara Kim</t>
        </is>
      </c>
      <c r="G9" s="24" t="inlineStr">
        <is>
          <t>Predicts product demand for inventory</t>
        </is>
      </c>
      <c r="H9" s="43" t="n">
        <v>2</v>
      </c>
      <c r="I9" s="43" t="n">
        <v>3</v>
      </c>
      <c r="J9" s="43">
        <f>IF(H9*I9=0,"",H9*I9)</f>
        <v/>
      </c>
      <c r="K9" s="25">
        <f>IF(J9="","",IF(J9&lt;=4,"Low",IF(J9&lt;=12,"Medium","High")))</f>
        <v/>
      </c>
      <c r="L9" s="24" t="inlineStr">
        <is>
          <t>Model Robustness</t>
        </is>
      </c>
      <c r="M9" s="24" t="inlineStr">
        <is>
          <t>Drift monitoring active; retrain threshold set at 5% MAPE increase</t>
        </is>
      </c>
      <c r="N9" s="24" t="inlineStr">
        <is>
          <t>Active</t>
        </is>
      </c>
      <c r="O9" s="24" t="inlineStr">
        <is>
          <t>Low</t>
        </is>
      </c>
      <c r="P9" s="24" t="inlineStr">
        <is>
          <t>Due Soon</t>
        </is>
      </c>
      <c r="Q9" s="43" t="inlineStr">
        <is>
          <t>19/12/2025</t>
        </is>
      </c>
      <c r="R9" s="43" t="inlineStr">
        <is>
          <t>19/03/2026</t>
        </is>
      </c>
      <c r="S9" s="24" t="inlineStr"/>
    </row>
    <row r="10" ht="22" customHeight="1">
      <c r="A10" s="42" t="n">
        <v>5</v>
      </c>
      <c r="B10" s="20" t="inlineStr">
        <is>
          <t>Fraud Detection</t>
        </is>
      </c>
      <c r="C10" s="20" t="inlineStr">
        <is>
          <t>IsolForest-2</t>
        </is>
      </c>
      <c r="D10" s="20" t="inlineStr">
        <is>
          <t>Finance</t>
        </is>
      </c>
      <c r="E10" s="20" t="inlineStr">
        <is>
          <t>David Brown</t>
        </is>
      </c>
      <c r="F10" s="20" t="inlineStr">
        <is>
          <t>Priya Patel</t>
        </is>
      </c>
      <c r="G10" s="20" t="inlineStr">
        <is>
          <t>Real-time transaction anomaly detection</t>
        </is>
      </c>
      <c r="H10" s="42" t="n">
        <v>3</v>
      </c>
      <c r="I10" s="42" t="n">
        <v>5</v>
      </c>
      <c r="J10" s="42">
        <f>IF(H10*I10=0,"",H10*I10)</f>
        <v/>
      </c>
      <c r="K10" s="22">
        <f>IF(J10="","",IF(J10&lt;=4,"Low",IF(J10&lt;=12,"Medium","High")))</f>
        <v/>
      </c>
      <c r="L10" s="20" t="inlineStr">
        <is>
          <t>Cybersecurity</t>
        </is>
      </c>
      <c r="M10" s="20" t="inlineStr">
        <is>
          <t>Red-team quarterly; API auth enforced; kill-switch tested</t>
        </is>
      </c>
      <c r="N10" s="20" t="inlineStr">
        <is>
          <t>Active</t>
        </is>
      </c>
      <c r="O10" s="20" t="inlineStr">
        <is>
          <t>High</t>
        </is>
      </c>
      <c r="P10" s="20" t="inlineStr">
        <is>
          <t>Current</t>
        </is>
      </c>
      <c r="Q10" s="42" t="inlineStr">
        <is>
          <t>19/03/2026</t>
        </is>
      </c>
      <c r="R10" s="42" t="inlineStr">
        <is>
          <t>17/06/2026</t>
        </is>
      </c>
      <c r="S10" s="20" t="inlineStr">
        <is>
          <t>PCI-DSS scope</t>
        </is>
      </c>
    </row>
    <row r="11" ht="22" customHeight="1">
      <c r="A11" s="44" t="n">
        <v>6</v>
      </c>
      <c r="B11" s="45" t="n"/>
      <c r="C11" s="45" t="n"/>
      <c r="D11" s="45" t="n"/>
      <c r="E11" s="45" t="n"/>
      <c r="F11" s="45" t="n"/>
      <c r="G11" s="45" t="n"/>
      <c r="H11" s="45" t="n"/>
      <c r="I11" s="45" t="n"/>
      <c r="J11" s="45">
        <f>IF(H11*I11=0,"",H11*I11)</f>
        <v/>
      </c>
      <c r="K11" s="45">
        <f>IF(J11="","",IF(J11&lt;=4,"Low",IF(J11&lt;=12,"Medium","High")))</f>
        <v/>
      </c>
      <c r="L11" s="45" t="n"/>
      <c r="M11" s="45" t="n"/>
      <c r="N11" s="45" t="n"/>
      <c r="O11" s="45" t="n"/>
      <c r="P11" s="45" t="n"/>
      <c r="Q11" s="45" t="n"/>
      <c r="R11" s="45" t="n"/>
      <c r="S11" s="45" t="n"/>
    </row>
    <row r="12" ht="22" customHeight="1">
      <c r="A12" s="46" t="n">
        <v>7</v>
      </c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>
        <f>IF(H12*I12=0,"",H12*I12)</f>
        <v/>
      </c>
      <c r="K12" s="47">
        <f>IF(J12="","",IF(J12&lt;=4,"Low",IF(J12&lt;=12,"Medium","High")))</f>
        <v/>
      </c>
      <c r="L12" s="47" t="n"/>
      <c r="M12" s="47" t="n"/>
      <c r="N12" s="47" t="n"/>
      <c r="O12" s="47" t="n"/>
      <c r="P12" s="47" t="n"/>
      <c r="Q12" s="47" t="n"/>
      <c r="R12" s="47" t="n"/>
      <c r="S12" s="47" t="n"/>
    </row>
    <row r="13" ht="22" customHeight="1">
      <c r="A13" s="44" t="n">
        <v>8</v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>
        <f>IF(H13*I13=0,"",H13*I13)</f>
        <v/>
      </c>
      <c r="K13" s="45">
        <f>IF(J13="","",IF(J13&lt;=4,"Low",IF(J13&lt;=12,"Medium","High")))</f>
        <v/>
      </c>
      <c r="L13" s="45" t="n"/>
      <c r="M13" s="45" t="n"/>
      <c r="N13" s="45" t="n"/>
      <c r="O13" s="45" t="n"/>
      <c r="P13" s="45" t="n"/>
      <c r="Q13" s="45" t="n"/>
      <c r="R13" s="45" t="n"/>
      <c r="S13" s="45" t="n"/>
    </row>
    <row r="14" ht="22" customHeight="1">
      <c r="A14" s="46" t="n">
        <v>9</v>
      </c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>
        <f>IF(H14*I14=0,"",H14*I14)</f>
        <v/>
      </c>
      <c r="K14" s="47">
        <f>IF(J14="","",IF(J14&lt;=4,"Low",IF(J14&lt;=12,"Medium","High")))</f>
        <v/>
      </c>
      <c r="L14" s="47" t="n"/>
      <c r="M14" s="47" t="n"/>
      <c r="N14" s="47" t="n"/>
      <c r="O14" s="47" t="n"/>
      <c r="P14" s="47" t="n"/>
      <c r="Q14" s="47" t="n"/>
      <c r="R14" s="47" t="n"/>
      <c r="S14" s="47" t="n"/>
    </row>
    <row r="15" ht="22" customHeight="1">
      <c r="A15" s="44" t="n">
        <v>10</v>
      </c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>
        <f>IF(H15*I15=0,"",H15*I15)</f>
        <v/>
      </c>
      <c r="K15" s="45">
        <f>IF(J15="","",IF(J15&lt;=4,"Low",IF(J15&lt;=12,"Medium","High")))</f>
        <v/>
      </c>
      <c r="L15" s="45" t="n"/>
      <c r="M15" s="45" t="n"/>
      <c r="N15" s="45" t="n"/>
      <c r="O15" s="45" t="n"/>
      <c r="P15" s="45" t="n"/>
      <c r="Q15" s="45" t="n"/>
      <c r="R15" s="45" t="n"/>
      <c r="S15" s="45" t="n"/>
    </row>
    <row r="16" ht="22" customHeight="1">
      <c r="A16" s="46" t="n">
        <v>11</v>
      </c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>
        <f>IF(H16*I16=0,"",H16*I16)</f>
        <v/>
      </c>
      <c r="K16" s="47">
        <f>IF(J16="","",IF(J16&lt;=4,"Low",IF(J16&lt;=12,"Medium","High")))</f>
        <v/>
      </c>
      <c r="L16" s="47" t="n"/>
      <c r="M16" s="47" t="n"/>
      <c r="N16" s="47" t="n"/>
      <c r="O16" s="47" t="n"/>
      <c r="P16" s="47" t="n"/>
      <c r="Q16" s="47" t="n"/>
      <c r="R16" s="47" t="n"/>
      <c r="S16" s="47" t="n"/>
    </row>
    <row r="17" ht="22" customHeight="1">
      <c r="A17" s="44" t="n">
        <v>12</v>
      </c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>
        <f>IF(H17*I17=0,"",H17*I17)</f>
        <v/>
      </c>
      <c r="K17" s="45">
        <f>IF(J17="","",IF(J17&lt;=4,"Low",IF(J17&lt;=12,"Medium","High")))</f>
        <v/>
      </c>
      <c r="L17" s="45" t="n"/>
      <c r="M17" s="45" t="n"/>
      <c r="N17" s="45" t="n"/>
      <c r="O17" s="45" t="n"/>
      <c r="P17" s="45" t="n"/>
      <c r="Q17" s="45" t="n"/>
      <c r="R17" s="45" t="n"/>
      <c r="S17" s="45" t="n"/>
    </row>
    <row r="18" ht="22" customHeight="1">
      <c r="A18" s="46" t="n">
        <v>13</v>
      </c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>
        <f>IF(H18*I18=0,"",H18*I18)</f>
        <v/>
      </c>
      <c r="K18" s="47">
        <f>IF(J18="","",IF(J18&lt;=4,"Low",IF(J18&lt;=12,"Medium","High")))</f>
        <v/>
      </c>
      <c r="L18" s="47" t="n"/>
      <c r="M18" s="47" t="n"/>
      <c r="N18" s="47" t="n"/>
      <c r="O18" s="47" t="n"/>
      <c r="P18" s="47" t="n"/>
      <c r="Q18" s="47" t="n"/>
      <c r="R18" s="47" t="n"/>
      <c r="S18" s="47" t="n"/>
    </row>
    <row r="19" ht="22" customHeight="1">
      <c r="A19" s="44" t="n">
        <v>14</v>
      </c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>
        <f>IF(H19*I19=0,"",H19*I19)</f>
        <v/>
      </c>
      <c r="K19" s="45">
        <f>IF(J19="","",IF(J19&lt;=4,"Low",IF(J19&lt;=12,"Medium","High")))</f>
        <v/>
      </c>
      <c r="L19" s="45" t="n"/>
      <c r="M19" s="45" t="n"/>
      <c r="N19" s="45" t="n"/>
      <c r="O19" s="45" t="n"/>
      <c r="P19" s="45" t="n"/>
      <c r="Q19" s="45" t="n"/>
      <c r="R19" s="45" t="n"/>
      <c r="S19" s="45" t="n"/>
    </row>
    <row r="20" ht="22" customHeight="1">
      <c r="A20" s="46" t="n">
        <v>15</v>
      </c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>
        <f>IF(H20*I20=0,"",H20*I20)</f>
        <v/>
      </c>
      <c r="K20" s="47">
        <f>IF(J20="","",IF(J20&lt;=4,"Low",IF(J20&lt;=12,"Medium","High")))</f>
        <v/>
      </c>
      <c r="L20" s="47" t="n"/>
      <c r="M20" s="47" t="n"/>
      <c r="N20" s="47" t="n"/>
      <c r="O20" s="47" t="n"/>
      <c r="P20" s="47" t="n"/>
      <c r="Q20" s="47" t="n"/>
      <c r="R20" s="47" t="n"/>
      <c r="S20" s="47" t="n"/>
    </row>
    <row r="21" ht="22" customHeight="1">
      <c r="A21" s="44" t="n">
        <v>16</v>
      </c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>
        <f>IF(H21*I21=0,"",H21*I21)</f>
        <v/>
      </c>
      <c r="K21" s="45">
        <f>IF(J21="","",IF(J21&lt;=4,"Low",IF(J21&lt;=12,"Medium","High")))</f>
        <v/>
      </c>
      <c r="L21" s="45" t="n"/>
      <c r="M21" s="45" t="n"/>
      <c r="N21" s="45" t="n"/>
      <c r="O21" s="45" t="n"/>
      <c r="P21" s="45" t="n"/>
      <c r="Q21" s="45" t="n"/>
      <c r="R21" s="45" t="n"/>
      <c r="S21" s="45" t="n"/>
    </row>
    <row r="22" ht="22" customHeight="1">
      <c r="A22" s="46" t="n">
        <v>17</v>
      </c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>
        <f>IF(H22*I22=0,"",H22*I22)</f>
        <v/>
      </c>
      <c r="K22" s="47">
        <f>IF(J22="","",IF(J22&lt;=4,"Low",IF(J22&lt;=12,"Medium","High")))</f>
        <v/>
      </c>
      <c r="L22" s="47" t="n"/>
      <c r="M22" s="47" t="n"/>
      <c r="N22" s="47" t="n"/>
      <c r="O22" s="47" t="n"/>
      <c r="P22" s="47" t="n"/>
      <c r="Q22" s="47" t="n"/>
      <c r="R22" s="47" t="n"/>
      <c r="S22" s="47" t="n"/>
    </row>
    <row r="23" ht="22" customHeight="1">
      <c r="A23" s="44" t="n">
        <v>18</v>
      </c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>
        <f>IF(H23*I23=0,"",H23*I23)</f>
        <v/>
      </c>
      <c r="K23" s="45">
        <f>IF(J23="","",IF(J23&lt;=4,"Low",IF(J23&lt;=12,"Medium","High")))</f>
        <v/>
      </c>
      <c r="L23" s="45" t="n"/>
      <c r="M23" s="45" t="n"/>
      <c r="N23" s="45" t="n"/>
      <c r="O23" s="45" t="n"/>
      <c r="P23" s="45" t="n"/>
      <c r="Q23" s="45" t="n"/>
      <c r="R23" s="45" t="n"/>
      <c r="S23" s="45" t="n"/>
    </row>
    <row r="24" ht="22" customHeight="1">
      <c r="A24" s="46" t="n">
        <v>19</v>
      </c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>
        <f>IF(H24*I24=0,"",H24*I24)</f>
        <v/>
      </c>
      <c r="K24" s="47">
        <f>IF(J24="","",IF(J24&lt;=4,"Low",IF(J24&lt;=12,"Medium","High")))</f>
        <v/>
      </c>
      <c r="L24" s="47" t="n"/>
      <c r="M24" s="47" t="n"/>
      <c r="N24" s="47" t="n"/>
      <c r="O24" s="47" t="n"/>
      <c r="P24" s="47" t="n"/>
      <c r="Q24" s="47" t="n"/>
      <c r="R24" s="47" t="n"/>
      <c r="S24" s="47" t="n"/>
    </row>
    <row r="25" ht="22" customHeight="1">
      <c r="A25" s="44" t="n">
        <v>20</v>
      </c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>
        <f>IF(H25*I25=0,"",H25*I25)</f>
        <v/>
      </c>
      <c r="K25" s="45">
        <f>IF(J25="","",IF(J25&lt;=4,"Low",IF(J25&lt;=12,"Medium","High")))</f>
        <v/>
      </c>
      <c r="L25" s="45" t="n"/>
      <c r="M25" s="45" t="n"/>
      <c r="N25" s="45" t="n"/>
      <c r="O25" s="45" t="n"/>
      <c r="P25" s="45" t="n"/>
      <c r="Q25" s="45" t="n"/>
      <c r="R25" s="45" t="n"/>
      <c r="S25" s="45" t="n"/>
    </row>
  </sheetData>
  <mergeCells count="2">
    <mergeCell ref="A2:S2"/>
    <mergeCell ref="A1:S1"/>
  </mergeCells>
  <conditionalFormatting sqref="K6:K100">
    <cfRule type="expression" priority="1" dxfId="0">
      <formula>K6="Low"</formula>
    </cfRule>
    <cfRule type="expression" priority="2" dxfId="1">
      <formula>K6="Medium"</formula>
    </cfRule>
    <cfRule type="expression" priority="3" dxfId="2">
      <formula>K6="High"</formula>
    </cfRule>
  </conditionalFormatting>
  <conditionalFormatting sqref="J6:J100">
    <cfRule type="colorScale" priority="4">
      <colorScale>
        <cfvo type="num" val="1"/>
        <cfvo type="num" val="12"/>
        <cfvo type="num" val="25"/>
        <color rgb="0063BE7B"/>
        <color rgb="00FFEB84"/>
        <color rgb="00F8696B"/>
      </colorScale>
    </cfRule>
  </conditionalFormatting>
  <conditionalFormatting sqref="P6:P100">
    <cfRule type="expression" priority="5" dxfId="2">
      <formula>P6="Overdue"</formula>
    </cfRule>
    <cfRule type="expression" priority="6" dxfId="1">
      <formula>P6="Due Soon"</formula>
    </cfRule>
    <cfRule type="expression" priority="7" dxfId="3">
      <formula>P6="Current"</formula>
    </cfRule>
  </conditionalFormatting>
  <conditionalFormatting sqref="N6:N100">
    <cfRule type="expression" priority="8" dxfId="3">
      <formula>N6="Completed"</formula>
    </cfRule>
    <cfRule type="expression" priority="9" dxfId="2">
      <formula>N6="Overdue"</formula>
    </cfRule>
    <cfRule type="expression" priority="10" dxfId="4">
      <formula>N6="In Progress"</formula>
    </cfRule>
  </conditionalFormatting>
  <dataValidations count="7">
    <dataValidation sqref="D6:D100" showDropDown="0" showInputMessage="0" showErrorMessage="0" allowBlank="1" errorTitle="Invalid Entry" error="Please select a valid option" promptTitle="Department" prompt="Select the owning department" type="list">
      <formula1>"Finance,HR / People,Customer Service,Operations,IT / Technology,Legal / Compliance,Marketing,Other"</formula1>
    </dataValidation>
    <dataValidation sqref="H6:H100" showDropDown="0" showInputMessage="0" showErrorMessage="0" allowBlank="1" errorTitle="Invalid Entry" error="Please select a valid option" promptTitle="Likelihood" prompt="Rate likelihood 1 (Rare) to 5 (Almost Certain)" type="list">
      <formula1>"1,2,3,4,5"</formula1>
    </dataValidation>
    <dataValidation sqref="I6:I100" showDropDown="0" showInputMessage="0" showErrorMessage="0" allowBlank="1" errorTitle="Invalid Entry" error="Please select a valid option" promptTitle="Impact" prompt="Rate impact 1 (Negligible) to 5 (Critical)" type="list">
      <formula1>"1,2,3,4,5"</formula1>
    </dataValidation>
    <dataValidation sqref="L6:L100" showDropDown="0" showInputMessage="0" showErrorMessage="0" allowBlank="1" errorTitle="Invalid Entry" error="Please select a valid option" promptTitle="Risk Category" prompt="Select primary risk category" type="list">
      <formula1>"Bias &amp; Fairness,Data Privacy,Model Robustness,Explainability,Operational,Legal &amp; Compliance,Cybersecurity,Supply Chain,Other"</formula1>
    </dataValidation>
    <dataValidation sqref="N6:N100" showDropDown="0" showInputMessage="0" showErrorMessage="0" allowBlank="1" errorTitle="Invalid Entry" error="Please select a valid option" promptTitle="Mitigation Status" prompt="Select current mitigation status" type="list">
      <formula1>"Not Started,In Progress,Completed,Overdue,Deferred,N/A"</formula1>
    </dataValidation>
    <dataValidation sqref="O6:O100" showDropDown="0" showInputMessage="0" showErrorMessage="0" allowBlank="1" errorTitle="Invalid Entry" error="Please select a valid option" promptTitle="Residual Risk" prompt="Risk level after mitigations" type="list">
      <formula1>"Low,Medium,High,Critical,Closed"</formula1>
    </dataValidation>
    <dataValidation sqref="P6:P100" showDropDown="0" showInputMessage="0" showErrorMessage="0" allowBlank="1" errorTitle="Invalid Entry" error="Please select a valid option" promptTitle="Review Status" prompt="Current review status" type="list">
      <formula1>"Current,Due Soon,Overdue,Suspended"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1C1C"/>
    <outlinePr summaryBelow="1" summaryRight="1"/>
    <pageSetUpPr/>
  </sheetPr>
  <dimension ref="A1:P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0" customWidth="1" min="3" max="3"/>
    <col width="16" customWidth="1" min="4" max="4"/>
    <col width="16" customWidth="1" min="5" max="5"/>
    <col width="35" customWidth="1" min="6" max="6"/>
    <col width="10" customWidth="1" min="7" max="7"/>
    <col width="16" customWidth="1" min="8" max="8"/>
    <col width="16" customWidth="1" min="9" max="9"/>
    <col width="35" customWidth="1" min="10" max="10"/>
    <col width="12" customWidth="1" min="11" max="11"/>
    <col width="25" customWidth="1" min="12" max="12"/>
    <col width="13" customWidth="1" min="13" max="13"/>
    <col width="28" customWidth="1" min="14" max="14"/>
    <col width="13" customWidth="1" min="15" max="15"/>
    <col width="14" customWidth="1" min="16" max="16"/>
  </cols>
  <sheetData>
    <row r="1" ht="30" customHeight="1">
      <c r="A1" s="48" t="inlineStr">
        <is>
          <t>EVOLVE EDGE  |  AI Risk Register  —  Incident &amp; Change Log</t>
        </is>
      </c>
    </row>
    <row r="2" ht="18" customHeight="1">
      <c r="A2" s="49" t="inlineStr">
        <is>
          <t>Log every risk event, model change, audit finding, or review action. Each row = one event.</t>
        </is>
      </c>
    </row>
    <row r="3" ht="6" customHeight="1"/>
    <row r="4" ht="28" customHeight="1">
      <c r="A4" s="41" t="inlineStr">
        <is>
          <t>#</t>
        </is>
      </c>
      <c r="B4" s="41" t="inlineStr">
        <is>
          <t>Date</t>
        </is>
      </c>
      <c r="C4" s="41" t="inlineStr">
        <is>
          <t>AI System</t>
        </is>
      </c>
      <c r="D4" s="41" t="inlineStr">
        <is>
          <t>Event Type</t>
        </is>
      </c>
      <c r="E4" s="41" t="inlineStr">
        <is>
          <t>Risk Category</t>
        </is>
      </c>
      <c r="F4" s="41" t="inlineStr">
        <is>
          <t>Description</t>
        </is>
      </c>
      <c r="G4" s="41" t="inlineStr">
        <is>
          <t>Severity</t>
        </is>
      </c>
      <c r="H4" s="41" t="inlineStr">
        <is>
          <t>Reported By</t>
        </is>
      </c>
      <c r="I4" s="41" t="inlineStr">
        <is>
          <t>Assigned To</t>
        </is>
      </c>
      <c r="J4" s="41" t="inlineStr">
        <is>
          <t>Action Taken</t>
        </is>
      </c>
      <c r="K4" s="41" t="inlineStr">
        <is>
          <t>Status</t>
        </is>
      </c>
      <c r="L4" s="41" t="inlineStr">
        <is>
          <t>Root Cause</t>
        </is>
      </c>
      <c r="M4" s="41" t="inlineStr">
        <is>
          <t>Resolution Date</t>
        </is>
      </c>
      <c r="N4" s="41" t="inlineStr">
        <is>
          <t>Lesson Learned</t>
        </is>
      </c>
      <c r="O4" s="41" t="inlineStr">
        <is>
          <t>Linked Risk Score</t>
        </is>
      </c>
      <c r="P4" s="41" t="inlineStr">
        <is>
          <t>Sign-off</t>
        </is>
      </c>
    </row>
    <row r="5" ht="38" customHeight="1">
      <c r="A5" s="50" t="n">
        <v>1</v>
      </c>
      <c r="B5" s="20" t="inlineStr">
        <is>
          <t>15/01/2025</t>
        </is>
      </c>
      <c r="C5" s="20" t="inlineStr">
        <is>
          <t>Customer Chatbot</t>
        </is>
      </c>
      <c r="D5" s="20" t="inlineStr">
        <is>
          <t>Model Drift</t>
        </is>
      </c>
      <c r="E5" s="20" t="inlineStr">
        <is>
          <t>Operational</t>
        </is>
      </c>
      <c r="F5" s="20" t="inlineStr">
        <is>
          <t>Intent classification accuracy dropped from 91% to 83% after traffic spike</t>
        </is>
      </c>
      <c r="G5" s="20" t="inlineStr">
        <is>
          <t>Medium</t>
        </is>
      </c>
      <c r="H5" s="20" t="inlineStr">
        <is>
          <t>Tom Lee</t>
        </is>
      </c>
      <c r="I5" s="20" t="inlineStr">
        <is>
          <t>Tom Lee</t>
        </is>
      </c>
      <c r="J5" s="20" t="inlineStr">
        <is>
          <t>Retrained model on Q4 2024 data; re-deployed</t>
        </is>
      </c>
      <c r="K5" s="20" t="inlineStr">
        <is>
          <t>Resolved</t>
        </is>
      </c>
      <c r="L5" s="20" t="inlineStr">
        <is>
          <t>Training data did not reflect seasonal language shifts</t>
        </is>
      </c>
      <c r="M5" s="20" t="inlineStr">
        <is>
          <t>28/01/2025</t>
        </is>
      </c>
      <c r="N5" s="20" t="inlineStr">
        <is>
          <t>Implement automated drift alert at &lt;85% accuracy</t>
        </is>
      </c>
      <c r="O5" s="20" t="inlineStr">
        <is>
          <t>9</t>
        </is>
      </c>
      <c r="P5" s="20" t="inlineStr">
        <is>
          <t>Jane Smith</t>
        </is>
      </c>
    </row>
    <row r="6" ht="38" customHeight="1">
      <c r="A6" s="50" t="n">
        <v>2</v>
      </c>
      <c r="B6" s="24" t="inlineStr">
        <is>
          <t>03/02/2025</t>
        </is>
      </c>
      <c r="C6" s="24" t="inlineStr">
        <is>
          <t>Credit Scoring Model</t>
        </is>
      </c>
      <c r="D6" s="24" t="inlineStr">
        <is>
          <t>Bias Finding</t>
        </is>
      </c>
      <c r="E6" s="24" t="inlineStr">
        <is>
          <t>Bias &amp; Fairness</t>
        </is>
      </c>
      <c r="F6" s="24" t="inlineStr">
        <is>
          <t>Internal audit found 12% approval rate disparity between demographic groups</t>
        </is>
      </c>
      <c r="G6" s="24" t="inlineStr">
        <is>
          <t>High</t>
        </is>
      </c>
      <c r="H6" s="24" t="inlineStr">
        <is>
          <t>External Auditor</t>
        </is>
      </c>
      <c r="I6" s="24" t="inlineStr">
        <is>
          <t>Priya Patel</t>
        </is>
      </c>
      <c r="J6" s="24" t="inlineStr">
        <is>
          <t>Applied Fairlearn re-weighting; added SHAP output to decline letters</t>
        </is>
      </c>
      <c r="K6" s="24" t="inlineStr">
        <is>
          <t>In Progress</t>
        </is>
      </c>
      <c r="L6" s="24" t="inlineStr">
        <is>
          <t>Original training data over-represented one demographic segment</t>
        </is>
      </c>
      <c r="M6" s="24" t="inlineStr">
        <is>
          <t>28/02/2025</t>
        </is>
      </c>
      <c r="N6" s="24" t="inlineStr">
        <is>
          <t>Include fairness metrics in all future model validation packs</t>
        </is>
      </c>
      <c r="O6" s="24" t="inlineStr">
        <is>
          <t>9</t>
        </is>
      </c>
      <c r="P6" s="24" t="inlineStr">
        <is>
          <t>David Brown</t>
        </is>
      </c>
    </row>
    <row r="7" ht="38" customHeight="1">
      <c r="A7" s="50" t="n">
        <v>3</v>
      </c>
      <c r="B7" s="20" t="inlineStr">
        <is>
          <t>20/02/2025</t>
        </is>
      </c>
      <c r="C7" s="20" t="inlineStr">
        <is>
          <t>HR Screening Tool</t>
        </is>
      </c>
      <c r="D7" s="20" t="inlineStr">
        <is>
          <t>Ethics Review</t>
        </is>
      </c>
      <c r="E7" s="20" t="inlineStr">
        <is>
          <t>Bias &amp; Fairness</t>
        </is>
      </c>
      <c r="F7" s="20" t="inlineStr">
        <is>
          <t>Ethics committee flagged CV screening model for potential age bias in shortlisting</t>
        </is>
      </c>
      <c r="G7" s="20" t="inlineStr">
        <is>
          <t>High</t>
        </is>
      </c>
      <c r="H7" s="20" t="inlineStr">
        <is>
          <t>Claire Moss</t>
        </is>
      </c>
      <c r="I7" s="20" t="inlineStr">
        <is>
          <t>James Wu</t>
        </is>
      </c>
      <c r="J7" s="20" t="inlineStr">
        <is>
          <t>Suspended auto-shortlisting; added human review step; retraining scheduled</t>
        </is>
      </c>
      <c r="K7" s="20" t="inlineStr">
        <is>
          <t>Open</t>
        </is>
      </c>
      <c r="L7" s="20" t="inlineStr">
        <is>
          <t>Model penalised career gaps disproportionately affecting older candidates</t>
        </is>
      </c>
      <c r="M7" s="20" t="inlineStr"/>
      <c r="N7" s="20" t="inlineStr"/>
      <c r="O7" s="20" t="inlineStr">
        <is>
          <t>20</t>
        </is>
      </c>
      <c r="P7" s="20" t="inlineStr">
        <is>
          <t>Ethics Committee</t>
        </is>
      </c>
    </row>
    <row r="8" ht="22" customHeight="1">
      <c r="A8" s="44" t="n">
        <v>4</v>
      </c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</row>
    <row r="9" ht="22" customHeight="1">
      <c r="A9" s="46" t="n">
        <v>5</v>
      </c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</row>
    <row r="10" ht="22" customHeight="1">
      <c r="A10" s="44" t="n">
        <v>6</v>
      </c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</row>
    <row r="11" ht="22" customHeight="1">
      <c r="A11" s="46" t="n">
        <v>7</v>
      </c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</row>
    <row r="12" ht="22" customHeight="1">
      <c r="A12" s="44" t="n">
        <v>8</v>
      </c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</row>
    <row r="13" ht="22" customHeight="1">
      <c r="A13" s="46" t="n">
        <v>9</v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</row>
    <row r="14" ht="22" customHeight="1">
      <c r="A14" s="44" t="n">
        <v>10</v>
      </c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</row>
    <row r="15" ht="22" customHeight="1">
      <c r="A15" s="46" t="n">
        <v>11</v>
      </c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</row>
    <row r="16" ht="22" customHeight="1">
      <c r="A16" s="44" t="n">
        <v>12</v>
      </c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</row>
    <row r="17" ht="22" customHeight="1">
      <c r="A17" s="46" t="n">
        <v>13</v>
      </c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</row>
    <row r="18" ht="22" customHeight="1">
      <c r="A18" s="44" t="n">
        <v>14</v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</row>
    <row r="19" ht="22" customHeight="1">
      <c r="A19" s="46" t="n">
        <v>15</v>
      </c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</row>
    <row r="20" ht="22" customHeight="1">
      <c r="A20" s="44" t="n">
        <v>16</v>
      </c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</row>
    <row r="21" ht="22" customHeight="1">
      <c r="A21" s="46" t="n">
        <v>17</v>
      </c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</row>
    <row r="22" ht="22" customHeight="1">
      <c r="A22" s="44" t="n">
        <v>18</v>
      </c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</row>
    <row r="23" ht="22" customHeight="1">
      <c r="A23" s="46" t="n">
        <v>19</v>
      </c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</row>
    <row r="24" ht="22" customHeight="1">
      <c r="A24" s="44" t="n">
        <v>20</v>
      </c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</row>
    <row r="25" ht="22" customHeight="1">
      <c r="A25" s="46" t="n">
        <v>21</v>
      </c>
      <c r="B25" s="52" t="n"/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</row>
    <row r="26" ht="22" customHeight="1">
      <c r="A26" s="44" t="n">
        <v>22</v>
      </c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</row>
    <row r="27" ht="22" customHeight="1">
      <c r="A27" s="46" t="n">
        <v>23</v>
      </c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</row>
  </sheetData>
  <mergeCells count="2">
    <mergeCell ref="A1:P1"/>
    <mergeCell ref="A2:P2"/>
  </mergeCells>
  <conditionalFormatting sqref="G5:G100">
    <cfRule type="expression" priority="1" dxfId="2">
      <formula>G5="High"</formula>
    </cfRule>
    <cfRule type="expression" priority="2" dxfId="4">
      <formula>G5="Medium"</formula>
    </cfRule>
    <cfRule type="expression" priority="3" dxfId="3">
      <formula>G5="Low"</formula>
    </cfRule>
  </conditionalFormatting>
  <conditionalFormatting sqref="K5:K100">
    <cfRule type="expression" priority="4" dxfId="3">
      <formula>K5="Resolved"</formula>
    </cfRule>
    <cfRule type="expression" priority="5" dxfId="2">
      <formula>K5="Open"</formula>
    </cfRule>
    <cfRule type="expression" priority="6" dxfId="4">
      <formula>K5="In Progress"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N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8" customWidth="1" min="13" max="13"/>
    <col width="25" customWidth="1" min="14" max="14"/>
  </cols>
  <sheetData>
    <row r="1" ht="28" customHeight="1">
      <c r="A1" s="48" t="inlineStr">
        <is>
          <t>EVOLVE EDGE  |  AI System Review Calendar</t>
        </is>
      </c>
    </row>
    <row r="2" ht="18" customHeight="1">
      <c r="A2" s="49" t="inlineStr">
        <is>
          <t>Track scheduled review dates for all AI systems. Green = Current | Amber = Due Soon | Red = Overdue</t>
        </is>
      </c>
    </row>
    <row r="3" ht="8" customHeight="1"/>
    <row r="4" ht="28" customHeight="1">
      <c r="A4" s="53" t="inlineStr">
        <is>
          <t>AI System</t>
        </is>
      </c>
      <c r="B4" s="53" t="inlineStr">
        <is>
          <t>Risk Level</t>
        </is>
      </c>
      <c r="C4" s="53" t="inlineStr">
        <is>
          <t>Review Cycle</t>
        </is>
      </c>
      <c r="D4" s="53" t="inlineStr">
        <is>
          <t>Q1 Review</t>
        </is>
      </c>
      <c r="E4" s="53" t="inlineStr">
        <is>
          <t>Q2 Review</t>
        </is>
      </c>
      <c r="F4" s="53" t="inlineStr">
        <is>
          <t>Q3 Review</t>
        </is>
      </c>
      <c r="G4" s="53" t="inlineStr">
        <is>
          <t>Q4 Review</t>
        </is>
      </c>
      <c r="H4" s="53" t="inlineStr">
        <is>
          <t>Q1 Status</t>
        </is>
      </c>
      <c r="I4" s="53" t="inlineStr">
        <is>
          <t>Q2 Status</t>
        </is>
      </c>
      <c r="J4" s="53" t="inlineStr">
        <is>
          <t>Q3 Status</t>
        </is>
      </c>
      <c r="K4" s="53" t="inlineStr">
        <is>
          <t>Q4 Status</t>
        </is>
      </c>
      <c r="L4" s="53" t="inlineStr">
        <is>
          <t>Annual Review</t>
        </is>
      </c>
      <c r="M4" s="53" t="inlineStr">
        <is>
          <t>Reviewer</t>
        </is>
      </c>
      <c r="N4" s="53" t="inlineStr">
        <is>
          <t>Notes</t>
        </is>
      </c>
    </row>
    <row r="5" ht="20" customHeight="1">
      <c r="A5" s="20" t="inlineStr">
        <is>
          <t>Customer Chatbot</t>
        </is>
      </c>
      <c r="B5" s="20" t="inlineStr">
        <is>
          <t>Low</t>
        </is>
      </c>
      <c r="C5" s="20" t="inlineStr">
        <is>
          <t>Annual</t>
        </is>
      </c>
      <c r="D5" s="20" t="inlineStr">
        <is>
          <t>—</t>
        </is>
      </c>
      <c r="E5" s="20" t="inlineStr">
        <is>
          <t>—</t>
        </is>
      </c>
      <c r="F5" s="20" t="inlineStr">
        <is>
          <t>—</t>
        </is>
      </c>
      <c r="G5" s="20" t="inlineStr">
        <is>
          <t>Dec 2025</t>
        </is>
      </c>
      <c r="H5" s="20" t="inlineStr">
        <is>
          <t>—</t>
        </is>
      </c>
      <c r="I5" s="20" t="inlineStr">
        <is>
          <t>—</t>
        </is>
      </c>
      <c r="J5" s="20" t="inlineStr">
        <is>
          <t>—</t>
        </is>
      </c>
      <c r="K5" s="20" t="inlineStr">
        <is>
          <t>Due</t>
        </is>
      </c>
      <c r="L5" s="20" t="inlineStr">
        <is>
          <t>Dec 2025</t>
        </is>
      </c>
      <c r="M5" s="20" t="inlineStr">
        <is>
          <t>Tom Lee</t>
        </is>
      </c>
      <c r="N5" s="20" t="inlineStr"/>
    </row>
    <row r="6" ht="20" customHeight="1">
      <c r="A6" s="24" t="inlineStr">
        <is>
          <t>Credit Scoring Model</t>
        </is>
      </c>
      <c r="B6" s="24" t="inlineStr">
        <is>
          <t>Medium</t>
        </is>
      </c>
      <c r="C6" s="24" t="inlineStr">
        <is>
          <t>Quarterly</t>
        </is>
      </c>
      <c r="D6" s="24" t="inlineStr">
        <is>
          <t>Mar 2025</t>
        </is>
      </c>
      <c r="E6" s="24" t="inlineStr">
        <is>
          <t>Jun 2025</t>
        </is>
      </c>
      <c r="F6" s="24" t="inlineStr">
        <is>
          <t>Sep 2025</t>
        </is>
      </c>
      <c r="G6" s="24" t="inlineStr">
        <is>
          <t>Dec 2025</t>
        </is>
      </c>
      <c r="H6" s="24" t="inlineStr">
        <is>
          <t>Completed</t>
        </is>
      </c>
      <c r="I6" s="24" t="inlineStr">
        <is>
          <t>Scheduled</t>
        </is>
      </c>
      <c r="J6" s="24" t="inlineStr">
        <is>
          <t>Scheduled</t>
        </is>
      </c>
      <c r="K6" s="24" t="inlineStr">
        <is>
          <t>Scheduled</t>
        </is>
      </c>
      <c r="L6" s="24" t="inlineStr">
        <is>
          <t>Dec 2025</t>
        </is>
      </c>
      <c r="M6" s="24" t="inlineStr">
        <is>
          <t>Priya Patel</t>
        </is>
      </c>
      <c r="N6" s="24" t="inlineStr">
        <is>
          <t>FCA reporting linked</t>
        </is>
      </c>
    </row>
    <row r="7" ht="20" customHeight="1">
      <c r="A7" s="20" t="inlineStr">
        <is>
          <t>HR Screening Tool</t>
        </is>
      </c>
      <c r="B7" s="20" t="inlineStr">
        <is>
          <t>High</t>
        </is>
      </c>
      <c r="C7" s="20" t="inlineStr">
        <is>
          <t>Quarterly</t>
        </is>
      </c>
      <c r="D7" s="20" t="inlineStr">
        <is>
          <t>Mar 2025</t>
        </is>
      </c>
      <c r="E7" s="20" t="inlineStr">
        <is>
          <t>Jun 2025</t>
        </is>
      </c>
      <c r="F7" s="20" t="inlineStr">
        <is>
          <t>Sep 2025</t>
        </is>
      </c>
      <c r="G7" s="20" t="inlineStr">
        <is>
          <t>Dec 2025</t>
        </is>
      </c>
      <c r="H7" s="20" t="inlineStr">
        <is>
          <t>Overdue</t>
        </is>
      </c>
      <c r="I7" s="20" t="inlineStr">
        <is>
          <t>Scheduled</t>
        </is>
      </c>
      <c r="J7" s="20" t="inlineStr">
        <is>
          <t>Scheduled</t>
        </is>
      </c>
      <c r="K7" s="20" t="inlineStr">
        <is>
          <t>Scheduled</t>
        </is>
      </c>
      <c r="L7" s="20" t="inlineStr">
        <is>
          <t>Dec 2025</t>
        </is>
      </c>
      <c r="M7" s="20" t="inlineStr">
        <is>
          <t>James Wu</t>
        </is>
      </c>
      <c r="N7" s="20" t="inlineStr">
        <is>
          <t>Ethics board sign-off needed</t>
        </is>
      </c>
    </row>
    <row r="8" ht="20" customHeight="1">
      <c r="A8" s="24" t="inlineStr">
        <is>
          <t>Demand Forecasting</t>
        </is>
      </c>
      <c r="B8" s="24" t="inlineStr">
        <is>
          <t>Low</t>
        </is>
      </c>
      <c r="C8" s="24" t="inlineStr">
        <is>
          <t>Annual</t>
        </is>
      </c>
      <c r="D8" s="24" t="inlineStr">
        <is>
          <t>—</t>
        </is>
      </c>
      <c r="E8" s="24" t="inlineStr">
        <is>
          <t>—</t>
        </is>
      </c>
      <c r="F8" s="24" t="inlineStr">
        <is>
          <t>—</t>
        </is>
      </c>
      <c r="G8" s="24" t="inlineStr">
        <is>
          <t>Nov 2025</t>
        </is>
      </c>
      <c r="H8" s="24" t="inlineStr">
        <is>
          <t>—</t>
        </is>
      </c>
      <c r="I8" s="24" t="inlineStr">
        <is>
          <t>—</t>
        </is>
      </c>
      <c r="J8" s="24" t="inlineStr">
        <is>
          <t>—</t>
        </is>
      </c>
      <c r="K8" s="24" t="inlineStr">
        <is>
          <t>Scheduled</t>
        </is>
      </c>
      <c r="L8" s="24" t="inlineStr">
        <is>
          <t>Nov 2025</t>
        </is>
      </c>
      <c r="M8" s="24" t="inlineStr">
        <is>
          <t>Sara Kim</t>
        </is>
      </c>
      <c r="N8" s="24" t="inlineStr"/>
    </row>
    <row r="9" ht="20" customHeight="1">
      <c r="A9" s="20" t="inlineStr">
        <is>
          <t>Fraud Detection</t>
        </is>
      </c>
      <c r="B9" s="20" t="inlineStr">
        <is>
          <t>High</t>
        </is>
      </c>
      <c r="C9" s="20" t="inlineStr">
        <is>
          <t>Quarterly</t>
        </is>
      </c>
      <c r="D9" s="20" t="inlineStr">
        <is>
          <t>Feb 2025</t>
        </is>
      </c>
      <c r="E9" s="20" t="inlineStr">
        <is>
          <t>May 2025</t>
        </is>
      </c>
      <c r="F9" s="20" t="inlineStr">
        <is>
          <t>Aug 2025</t>
        </is>
      </c>
      <c r="G9" s="20" t="inlineStr">
        <is>
          <t>Nov 2025</t>
        </is>
      </c>
      <c r="H9" s="20" t="inlineStr">
        <is>
          <t>Completed</t>
        </is>
      </c>
      <c r="I9" s="20" t="inlineStr">
        <is>
          <t>Scheduled</t>
        </is>
      </c>
      <c r="J9" s="20" t="inlineStr">
        <is>
          <t>Scheduled</t>
        </is>
      </c>
      <c r="K9" s="20" t="inlineStr">
        <is>
          <t>Scheduled</t>
        </is>
      </c>
      <c r="L9" s="20" t="inlineStr">
        <is>
          <t>Nov 2025</t>
        </is>
      </c>
      <c r="M9" s="20" t="inlineStr">
        <is>
          <t>Priya Patel</t>
        </is>
      </c>
      <c r="N9" s="20" t="inlineStr">
        <is>
          <t>Red-team Q2</t>
        </is>
      </c>
    </row>
    <row r="10" ht="20" customHeight="1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</row>
    <row r="11" ht="20" customHeight="1">
      <c r="A11" s="52" t="n"/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  <c r="K11" s="52" t="n"/>
      <c r="L11" s="52" t="n"/>
      <c r="M11" s="52" t="n"/>
      <c r="N11" s="52" t="n"/>
    </row>
    <row r="12" ht="20" customHeight="1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</row>
    <row r="13" ht="20" customHeight="1">
      <c r="A13" s="52" t="n"/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</row>
    <row r="14" ht="20" customHeight="1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</row>
    <row r="15" ht="20" customHeight="1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</row>
    <row r="16" ht="20" customHeight="1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</row>
    <row r="17" ht="20" customHeight="1">
      <c r="A17" s="52" t="n"/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</row>
    <row r="18" ht="20" customHeight="1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</row>
    <row r="19" ht="20" customHeight="1">
      <c r="A19" s="52" t="n"/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</row>
    <row r="20" ht="20" customHeight="1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</row>
    <row r="21" ht="20" customHeight="1">
      <c r="A21" s="52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</row>
    <row r="22" ht="20" customHeight="1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</row>
    <row r="23" ht="20" customHeight="1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</row>
    <row r="24" ht="20" customHeight="1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</row>
  </sheetData>
  <mergeCells count="2">
    <mergeCell ref="A2:N2"/>
    <mergeCell ref="A1:N1"/>
  </mergeCells>
  <conditionalFormatting sqref="H5:H100">
    <cfRule type="expression" priority="1" dxfId="3">
      <formula>H5="Completed"</formula>
    </cfRule>
    <cfRule type="expression" priority="2" dxfId="2">
      <formula>H5="Overdue"</formula>
    </cfRule>
    <cfRule type="expression" priority="3" dxfId="4">
      <formula>H5="Scheduled"</formula>
    </cfRule>
  </conditionalFormatting>
  <conditionalFormatting sqref="I5:I100">
    <cfRule type="expression" priority="4" dxfId="3">
      <formula>I5="Completed"</formula>
    </cfRule>
    <cfRule type="expression" priority="5" dxfId="2">
      <formula>I5="Overdue"</formula>
    </cfRule>
    <cfRule type="expression" priority="6" dxfId="4">
      <formula>I5="Scheduled"</formula>
    </cfRule>
  </conditionalFormatting>
  <conditionalFormatting sqref="J5:J100">
    <cfRule type="expression" priority="7" dxfId="3">
      <formula>J5="Completed"</formula>
    </cfRule>
    <cfRule type="expression" priority="8" dxfId="2">
      <formula>J5="Overdue"</formula>
    </cfRule>
    <cfRule type="expression" priority="9" dxfId="4">
      <formula>J5="Scheduled"</formula>
    </cfRule>
  </conditionalFormatting>
  <conditionalFormatting sqref="K5:K100">
    <cfRule type="expression" priority="10" dxfId="3">
      <formula>K5="Completed"</formula>
    </cfRule>
    <cfRule type="expression" priority="11" dxfId="2">
      <formula>K5="Overdue"</formula>
    </cfRule>
    <cfRule type="expression" priority="12" dxfId="4">
      <formula>K5="Scheduled"</formula>
    </cfRule>
  </conditionalFormatting>
  <conditionalFormatting sqref="B5:B100">
    <cfRule type="expression" priority="13" dxfId="0">
      <formula>B5="Low"</formula>
    </cfRule>
    <cfRule type="expression" priority="14" dxfId="1">
      <formula>B5="Medium"</formula>
    </cfRule>
    <cfRule type="expression" priority="15" dxfId="2">
      <formula>B5="High"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5E20"/>
    <outlinePr summaryBelow="1" summaryRight="1"/>
    <pageSetUpPr/>
  </sheetPr>
  <dimension ref="A1:J5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9" max="9"/>
    <col width="4" customWidth="1" min="10" max="10"/>
  </cols>
  <sheetData>
    <row r="1" ht="28" customHeight="1">
      <c r="A1" s="48" t="inlineStr">
        <is>
          <t>EVOLVE EDGE  |  Reference Tables  —  Risk Matrix, Scales &amp; Dropdown Lists</t>
        </is>
      </c>
    </row>
    <row r="3">
      <c r="A3" s="54" t="inlineStr">
        <is>
          <t>5×5 Risk Matrix  (Likelihood rows × Impact columns)</t>
        </is>
      </c>
      <c r="I3" s="55" t="inlineStr">
        <is>
          <t>Valid Dropdown Values</t>
        </is>
      </c>
    </row>
    <row r="4" ht="18" customHeight="1">
      <c r="A4" s="56" t="inlineStr"/>
      <c r="B4" s="56" t="inlineStr">
        <is>
          <t>1
Negligible</t>
        </is>
      </c>
      <c r="C4" s="56" t="inlineStr">
        <is>
          <t>2
Minor</t>
        </is>
      </c>
      <c r="D4" s="56" t="inlineStr">
        <is>
          <t>3
Moderate</t>
        </is>
      </c>
      <c r="E4" s="56" t="inlineStr">
        <is>
          <t>4
Major</t>
        </is>
      </c>
      <c r="F4" s="56" t="inlineStr">
        <is>
          <t>5
Critical</t>
        </is>
      </c>
      <c r="I4" s="57" t="inlineStr">
        <is>
          <t>Department</t>
        </is>
      </c>
    </row>
    <row r="5" ht="16" customHeight="1">
      <c r="A5" s="58" t="inlineStr">
        <is>
          <t>5
Alm.Certain</t>
        </is>
      </c>
      <c r="B5" s="59" t="n">
        <v>5</v>
      </c>
      <c r="C5" s="59" t="n">
        <v>10</v>
      </c>
      <c r="D5" s="60" t="n">
        <v>15</v>
      </c>
      <c r="E5" s="60" t="n">
        <v>20</v>
      </c>
      <c r="F5" s="60" t="n">
        <v>25</v>
      </c>
      <c r="I5" s="61" t="inlineStr">
        <is>
          <t>Finance</t>
        </is>
      </c>
    </row>
    <row r="6" ht="16" customHeight="1">
      <c r="A6" s="58" t="inlineStr">
        <is>
          <t>4
Likely</t>
        </is>
      </c>
      <c r="B6" s="62" t="n">
        <v>4</v>
      </c>
      <c r="C6" s="59" t="n">
        <v>8</v>
      </c>
      <c r="D6" s="59" t="n">
        <v>12</v>
      </c>
      <c r="E6" s="60" t="n">
        <v>16</v>
      </c>
      <c r="F6" s="60" t="n">
        <v>20</v>
      </c>
      <c r="I6" s="63" t="inlineStr">
        <is>
          <t>HR / People</t>
        </is>
      </c>
    </row>
    <row r="7" ht="16" customHeight="1">
      <c r="A7" s="58" t="inlineStr">
        <is>
          <t>3
Possible</t>
        </is>
      </c>
      <c r="B7" s="62" t="n">
        <v>3</v>
      </c>
      <c r="C7" s="59" t="n">
        <v>6</v>
      </c>
      <c r="D7" s="59" t="n">
        <v>9</v>
      </c>
      <c r="E7" s="59" t="n">
        <v>12</v>
      </c>
      <c r="F7" s="60" t="n">
        <v>15</v>
      </c>
      <c r="I7" s="61" t="inlineStr">
        <is>
          <t>Customer Service</t>
        </is>
      </c>
    </row>
    <row r="8" ht="16" customHeight="1">
      <c r="A8" s="58" t="inlineStr">
        <is>
          <t>2
Unlikely</t>
        </is>
      </c>
      <c r="B8" s="62" t="n">
        <v>2</v>
      </c>
      <c r="C8" s="62" t="n">
        <v>4</v>
      </c>
      <c r="D8" s="59" t="n">
        <v>6</v>
      </c>
      <c r="E8" s="59" t="n">
        <v>8</v>
      </c>
      <c r="F8" s="59" t="n">
        <v>10</v>
      </c>
      <c r="I8" s="63" t="inlineStr">
        <is>
          <t>Operations</t>
        </is>
      </c>
    </row>
    <row r="9" ht="16" customHeight="1">
      <c r="A9" s="58" t="inlineStr">
        <is>
          <t>1
Rare</t>
        </is>
      </c>
      <c r="B9" s="62" t="n">
        <v>1</v>
      </c>
      <c r="C9" s="62" t="n">
        <v>2</v>
      </c>
      <c r="D9" s="62" t="n">
        <v>3</v>
      </c>
      <c r="E9" s="62" t="n">
        <v>4</v>
      </c>
      <c r="F9" s="59" t="n">
        <v>5</v>
      </c>
      <c r="I9" s="61" t="inlineStr">
        <is>
          <t>IT / Technology</t>
        </is>
      </c>
    </row>
    <row r="10" ht="16" customHeight="1">
      <c r="I10" s="63" t="inlineStr">
        <is>
          <t>Legal / Compliance</t>
        </is>
      </c>
    </row>
    <row r="11" ht="16" customHeight="1">
      <c r="A11" s="64" t="inlineStr">
        <is>
          <t>Legend:</t>
        </is>
      </c>
      <c r="I11" s="61" t="inlineStr">
        <is>
          <t>Marketing</t>
        </is>
      </c>
    </row>
    <row r="12" ht="16" customHeight="1">
      <c r="A12" s="65" t="inlineStr">
        <is>
          <t>Low (1–4): Accept &amp; monitor annually</t>
        </is>
      </c>
      <c r="I12" s="63" t="inlineStr">
        <is>
          <t>Other</t>
        </is>
      </c>
    </row>
    <row r="13" ht="18" customHeight="1">
      <c r="A13" s="66" t="inlineStr">
        <is>
          <t>Medium (5–12): Mitigate &amp; review quarterly</t>
        </is>
      </c>
    </row>
    <row r="14" ht="18" customHeight="1">
      <c r="A14" s="67" t="inlineStr">
        <is>
          <t>High (13–25): Immediate action required</t>
        </is>
      </c>
      <c r="I14" s="57" t="inlineStr">
        <is>
          <t>Risk Category</t>
        </is>
      </c>
    </row>
    <row r="15" ht="16" customHeight="1">
      <c r="I15" s="61" t="inlineStr">
        <is>
          <t>Bias &amp; Fairness</t>
        </is>
      </c>
    </row>
    <row r="16" ht="16" customHeight="1">
      <c r="I16" s="63" t="inlineStr">
        <is>
          <t>Data Privacy</t>
        </is>
      </c>
    </row>
    <row r="17" ht="16" customHeight="1">
      <c r="I17" s="61" t="inlineStr">
        <is>
          <t>Model Robustness</t>
        </is>
      </c>
    </row>
    <row r="18" ht="16" customHeight="1">
      <c r="I18" s="63" t="inlineStr">
        <is>
          <t>Explainability</t>
        </is>
      </c>
    </row>
    <row r="19" ht="16" customHeight="1">
      <c r="I19" s="61" t="inlineStr">
        <is>
          <t>Operational</t>
        </is>
      </c>
    </row>
    <row r="20" ht="16" customHeight="1">
      <c r="I20" s="63" t="inlineStr">
        <is>
          <t>Legal &amp; Compliance</t>
        </is>
      </c>
    </row>
    <row r="21" ht="16" customHeight="1">
      <c r="I21" s="61" t="inlineStr">
        <is>
          <t>Cybersecurity</t>
        </is>
      </c>
    </row>
    <row r="22" ht="16" customHeight="1">
      <c r="I22" s="63" t="inlineStr">
        <is>
          <t>Supply Chain</t>
        </is>
      </c>
    </row>
    <row r="23" ht="16" customHeight="1">
      <c r="I23" s="61" t="inlineStr">
        <is>
          <t>Other</t>
        </is>
      </c>
    </row>
    <row r="25" ht="18" customHeight="1">
      <c r="I25" s="57" t="inlineStr">
        <is>
          <t>Mit. Status</t>
        </is>
      </c>
    </row>
    <row r="26" ht="16" customHeight="1">
      <c r="I26" s="61" t="inlineStr">
        <is>
          <t>Not Started</t>
        </is>
      </c>
    </row>
    <row r="27" ht="16" customHeight="1">
      <c r="I27" s="63" t="inlineStr">
        <is>
          <t>In Progress</t>
        </is>
      </c>
    </row>
    <row r="28" ht="16" customHeight="1">
      <c r="I28" s="61" t="inlineStr">
        <is>
          <t>Completed</t>
        </is>
      </c>
    </row>
    <row r="29" ht="16" customHeight="1">
      <c r="I29" s="63" t="inlineStr">
        <is>
          <t>Overdue</t>
        </is>
      </c>
    </row>
    <row r="30" ht="16" customHeight="1">
      <c r="I30" s="61" t="inlineStr">
        <is>
          <t>Deferred</t>
        </is>
      </c>
    </row>
    <row r="31" ht="16" customHeight="1">
      <c r="I31" s="63" t="inlineStr">
        <is>
          <t>N/A</t>
        </is>
      </c>
    </row>
    <row r="33" ht="18" customHeight="1">
      <c r="I33" s="57" t="inlineStr">
        <is>
          <t>Review Status</t>
        </is>
      </c>
    </row>
    <row r="34" ht="16" customHeight="1">
      <c r="I34" s="61" t="inlineStr">
        <is>
          <t>Current</t>
        </is>
      </c>
    </row>
    <row r="35" ht="16" customHeight="1">
      <c r="I35" s="63" t="inlineStr">
        <is>
          <t>Due Soon</t>
        </is>
      </c>
    </row>
    <row r="36" ht="16" customHeight="1">
      <c r="I36" s="61" t="inlineStr">
        <is>
          <t>Overdue</t>
        </is>
      </c>
    </row>
    <row r="37" ht="16" customHeight="1">
      <c r="I37" s="63" t="inlineStr">
        <is>
          <t>Suspended</t>
        </is>
      </c>
    </row>
    <row r="39" ht="18" customHeight="1">
      <c r="I39" s="57" t="inlineStr">
        <is>
          <t>Severity</t>
        </is>
      </c>
    </row>
    <row r="40" ht="16" customHeight="1">
      <c r="I40" s="61" t="inlineStr">
        <is>
          <t>Low</t>
        </is>
      </c>
    </row>
    <row r="41" ht="16" customHeight="1">
      <c r="I41" s="63" t="inlineStr">
        <is>
          <t>Medium</t>
        </is>
      </c>
    </row>
    <row r="42" ht="16" customHeight="1">
      <c r="I42" s="61" t="inlineStr">
        <is>
          <t>High</t>
        </is>
      </c>
    </row>
    <row r="43" ht="16" customHeight="1">
      <c r="I43" s="63" t="inlineStr">
        <is>
          <t>Critical</t>
        </is>
      </c>
    </row>
    <row r="45" ht="18" customHeight="1">
      <c r="I45" s="57" t="inlineStr">
        <is>
          <t>Residual Risk</t>
        </is>
      </c>
    </row>
    <row r="46" ht="16" customHeight="1">
      <c r="I46" s="61" t="inlineStr">
        <is>
          <t>Low</t>
        </is>
      </c>
    </row>
    <row r="47" ht="16" customHeight="1">
      <c r="I47" s="63" t="inlineStr">
        <is>
          <t>Medium</t>
        </is>
      </c>
    </row>
    <row r="48" ht="16" customHeight="1">
      <c r="I48" s="61" t="inlineStr">
        <is>
          <t>High</t>
        </is>
      </c>
    </row>
    <row r="49" ht="16" customHeight="1">
      <c r="I49" s="63" t="inlineStr">
        <is>
          <t>Critical</t>
        </is>
      </c>
    </row>
    <row r="50" ht="16" customHeight="1">
      <c r="I50" s="61" t="inlineStr">
        <is>
          <t>Closed</t>
        </is>
      </c>
    </row>
  </sheetData>
  <mergeCells count="6">
    <mergeCell ref="A13:G13"/>
    <mergeCell ref="A1:J1"/>
    <mergeCell ref="A14:G14"/>
    <mergeCell ref="A3:G3"/>
    <mergeCell ref="A12:G12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2026-03-19T02:15:07Z</dcterms:created>
  <dcterms:modified xmlns:dcterms="http://purl.org/dc/terms/" xmlns:xsi="http://www.w3.org/2001/XMLSchema-instance" xsi:type="dcterms:W3CDTF">2026-03-19T02:15:10Z</dcterms:modified>
</cp:coreProperties>
</file>