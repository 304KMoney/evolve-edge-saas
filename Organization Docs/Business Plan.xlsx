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vestment need" sheetId="2" r:id="rId5"/>
    <sheet state="visible" name="Business plan" sheetId="3" r:id="rId6"/>
    <sheet state="visible" name="BP input data" sheetId="4" r:id="rId7"/>
    <sheet state="visible" name="Business model" sheetId="5" r:id="rId8"/>
  </sheets>
  <definedNames>
    <definedName name="Fixed_hosting_cost_growth">'BP input data'!$B$32</definedName>
    <definedName name="Basic_monthly_subscription">'Business model'!$B$2</definedName>
    <definedName name="Dev_team_start_month">'BP input data'!$C$38:$C$47</definedName>
    <definedName name="Team_months">'BP input data'!$D$36:$D$58</definedName>
    <definedName name="Basic_yearly_subscription">'Business model'!$B$3</definedName>
    <definedName name="Dev_team_months">'BP input data'!$D$38:$D$47</definedName>
    <definedName name="CAC_cap">'BP input data'!$B$25</definedName>
    <definedName name="Module_min_price">'Business model'!$B$8</definedName>
    <definedName name="Variable_hosting_cost">'BP input data'!$B$33</definedName>
    <definedName name="Fixed_hosting_cost">'BP input data'!$B$31</definedName>
    <definedName name="Team_start_month">'BP input data'!$C$36:$C$58</definedName>
    <definedName name="Enterprise_monthly_subscription">'Business model'!$B$6</definedName>
    <definedName name="SM_team_value">'BP input data'!$B$51:$B$55</definedName>
    <definedName name="Dev_team_value">'BP input data'!$B$38:$B$47</definedName>
    <definedName name="Team_value">'BP input data'!$B$36:$B$58</definedName>
    <definedName name="Pre_launch_months">'BP input data'!$B$4</definedName>
    <definedName name="SM_team_months">'BP input data'!$D$51:$D$55</definedName>
    <definedName name="SM_team_start_month">'BP input data'!$C$51:$C$55</definedName>
    <definedName name="Pro_monthly_subscription">'Business model'!$B$4</definedName>
    <definedName name="Online_marketing_start_month">'BP input data'!$B$14</definedName>
    <definedName name="CAC_growth">'BP input data'!$B$24</definedName>
    <definedName name="Enterprise_yearly_subscription">'Business model'!$B$7</definedName>
    <definedName name="Pro_yearly_subscription">'Business model'!$B$5</definedName>
    <definedName name="Module_max_price">'Business model'!$B$9</definedName>
  </definedNames>
  <calcPr/>
</workbook>
</file>

<file path=xl/sharedStrings.xml><?xml version="1.0" encoding="utf-8"?>
<sst xmlns="http://schemas.openxmlformats.org/spreadsheetml/2006/main" count="311" uniqueCount="203">
  <si>
    <t>Inputs</t>
  </si>
  <si>
    <t>Month CEO stops with founder-led sales</t>
  </si>
  <si>
    <t>BD people starting year 1</t>
  </si>
  <si>
    <t>BD people starting year 2</t>
  </si>
  <si>
    <t>BD people starting year 3</t>
  </si>
  <si>
    <t>BD sales per month (Basic)</t>
  </si>
  <si>
    <t>BD sales per month (Pro)</t>
  </si>
  <si>
    <t>BD sales per month (Enterprise)</t>
  </si>
  <si>
    <t>Monthly/yearly subscription split</t>
  </si>
  <si>
    <t>Basic tier marketing % split</t>
  </si>
  <si>
    <t>Pro tier marketing % split</t>
  </si>
  <si>
    <t>Online marketing start month</t>
  </si>
  <si>
    <t>Initial monthly marketing spend</t>
  </si>
  <si>
    <t>Marketing spend growth</t>
  </si>
  <si>
    <t>Marketing spend cap</t>
  </si>
  <si>
    <t>CAC (Basic)</t>
  </si>
  <si>
    <t>CAC (Pro)</t>
  </si>
  <si>
    <t>CAC (Enterprise)</t>
  </si>
  <si>
    <t>CAC growth</t>
  </si>
  <si>
    <t>CAC cap</t>
  </si>
  <si>
    <t>Churn (Basic)</t>
  </si>
  <si>
    <t>Churn (Pro)</t>
  </si>
  <si>
    <t>Churn (Enterprise)</t>
  </si>
  <si>
    <t>Outputs</t>
  </si>
  <si>
    <t>Pre-launch</t>
  </si>
  <si>
    <t>Year 1</t>
  </si>
  <si>
    <t>Year 2</t>
  </si>
  <si>
    <t>Year 3</t>
  </si>
  <si>
    <t>Year 4</t>
  </si>
  <si>
    <t>Year 5</t>
  </si>
  <si>
    <t>TOTAL</t>
  </si>
  <si>
    <t>Revenue</t>
  </si>
  <si>
    <t>Costs</t>
  </si>
  <si>
    <t>Profit</t>
  </si>
  <si>
    <t>Gross profit margin</t>
  </si>
  <si>
    <t>Basic</t>
  </si>
  <si>
    <t>Pro</t>
  </si>
  <si>
    <t>Enterprise</t>
  </si>
  <si>
    <t>Customer lifetime value (CLTV)</t>
  </si>
  <si>
    <t>LTV:CAC</t>
  </si>
  <si>
    <t>Investment needed</t>
  </si>
  <si>
    <t>MoM profitability month</t>
  </si>
  <si>
    <t>Cumulative profitability month</t>
  </si>
  <si>
    <t>Monthly burn rate (pre-revenue)</t>
  </si>
  <si>
    <t>Runway (pre-revenue)</t>
  </si>
  <si>
    <t>Year</t>
  </si>
  <si>
    <t>Month</t>
  </si>
  <si>
    <t>Dev team</t>
  </si>
  <si>
    <t>S&amp;M team</t>
  </si>
  <si>
    <t>Product development</t>
  </si>
  <si>
    <t>Marketing</t>
  </si>
  <si>
    <t>Hosting</t>
  </si>
  <si>
    <t>Team</t>
  </si>
  <si>
    <t>Services</t>
  </si>
  <si>
    <t>Misc</t>
  </si>
  <si>
    <t>Grouped while at a loss</t>
  </si>
  <si>
    <t>Development</t>
  </si>
  <si>
    <t>Sales &amp; Marketing</t>
  </si>
  <si>
    <t>Operations</t>
  </si>
  <si>
    <t>Cumulative profit</t>
  </si>
  <si>
    <t>Contingency</t>
  </si>
  <si>
    <t>Investment ask</t>
  </si>
  <si>
    <t>Breakeven month</t>
  </si>
  <si>
    <t>Total</t>
  </si>
  <si>
    <t>%</t>
  </si>
  <si>
    <t>Investment</t>
  </si>
  <si>
    <t>Direct sales</t>
  </si>
  <si>
    <t>BD reps</t>
  </si>
  <si>
    <t>New customers (Basic)</t>
  </si>
  <si>
    <t>New customers (Pro)</t>
  </si>
  <si>
    <t>New customers (Enterprise)</t>
  </si>
  <si>
    <t>Online marketing</t>
  </si>
  <si>
    <t>Summary</t>
  </si>
  <si>
    <t>Lost users (Basic)</t>
  </si>
  <si>
    <t>Total customers (Basic)</t>
  </si>
  <si>
    <t>Lost users (Pro)</t>
  </si>
  <si>
    <t>Total customers (Pro)</t>
  </si>
  <si>
    <t>Lost users (Enterprise)</t>
  </si>
  <si>
    <t>Total customers (Enterprise)</t>
  </si>
  <si>
    <t>Sales (Basic)</t>
  </si>
  <si>
    <t>Sales (Pro)</t>
  </si>
  <si>
    <t>Sales (Enterprise)</t>
  </si>
  <si>
    <t>Sales</t>
  </si>
  <si>
    <t>Revenue (MRR)</t>
  </si>
  <si>
    <t>Cumulative revenue</t>
  </si>
  <si>
    <t>Annual revenue (ARR)</t>
  </si>
  <si>
    <t>Hosting (fixed)</t>
  </si>
  <si>
    <t>Hosting (variable)</t>
  </si>
  <si>
    <t>Cumulative costs</t>
  </si>
  <si>
    <t>Annual costs</t>
  </si>
  <si>
    <t>Profit (EBIT)</t>
  </si>
  <si>
    <t>Annual profit</t>
  </si>
  <si>
    <t>Name</t>
  </si>
  <si>
    <t>Value</t>
  </si>
  <si>
    <t>Start month</t>
  </si>
  <si>
    <t>Months</t>
  </si>
  <si>
    <t>Description</t>
  </si>
  <si>
    <t>Source</t>
  </si>
  <si>
    <t>Link</t>
  </si>
  <si>
    <t>General</t>
  </si>
  <si>
    <t>Currency</t>
  </si>
  <si>
    <t>USD ($)</t>
  </si>
  <si>
    <t>Control/input</t>
  </si>
  <si>
    <t>Pre-launch months</t>
  </si>
  <si>
    <t>Assumption</t>
  </si>
  <si>
    <t>When does paid advertising start?</t>
  </si>
  <si>
    <t>Monthly advertising spend growth</t>
  </si>
  <si>
    <t>Maximum advertising spend</t>
  </si>
  <si>
    <t>% of marketing to Basic tier customers</t>
  </si>
  <si>
    <t>% of marketing to Pro tier customers</t>
  </si>
  <si>
    <t>Enterprise tier marketing % split</t>
  </si>
  <si>
    <t>% of marketing to Enterprise tier customers</t>
  </si>
  <si>
    <t>Calculated</t>
  </si>
  <si>
    <t>Basic tier customer acquisition cost</t>
  </si>
  <si>
    <t>Pro tier customer acquisition cost</t>
  </si>
  <si>
    <t>Enterprise tier customer acquisition cost</t>
  </si>
  <si>
    <t>Monthly CAC growth</t>
  </si>
  <si>
    <t>Maximum CAC (as a % of initial CAC)</t>
  </si>
  <si>
    <t>Basic tier monthly churn</t>
  </si>
  <si>
    <t>Pro tier monthly churn</t>
  </si>
  <si>
    <t>Enterprise tier monthly churn</t>
  </si>
  <si>
    <t>Fixed</t>
  </si>
  <si>
    <t>Fixed hosting monthly cost</t>
  </si>
  <si>
    <t>Fixed growth</t>
  </si>
  <si>
    <t>Fixed hosting cost monthly growth</t>
  </si>
  <si>
    <t>Variable</t>
  </si>
  <si>
    <t>Per customer monthly cost</t>
  </si>
  <si>
    <t>CEO (Y1)</t>
  </si>
  <si>
    <t>CEO year 1</t>
  </si>
  <si>
    <t>CEO (Y2+)</t>
  </si>
  <si>
    <t>CEO year 2</t>
  </si>
  <si>
    <t>CTO</t>
  </si>
  <si>
    <t>Founding CTO</t>
  </si>
  <si>
    <t>SOC analyst #1</t>
  </si>
  <si>
    <t>Web developer #1</t>
  </si>
  <si>
    <t>Web developer after launch</t>
  </si>
  <si>
    <t>Back-end developer #1</t>
  </si>
  <si>
    <t>Back-end developer after launch</t>
  </si>
  <si>
    <t>Back-end developer #2</t>
  </si>
  <si>
    <t>Back-end developer 6-months after launch</t>
  </si>
  <si>
    <t>AI/Data engineer #1</t>
  </si>
  <si>
    <t>For developing additional AI modules</t>
  </si>
  <si>
    <t>Data scientist #1</t>
  </si>
  <si>
    <t>PM #1</t>
  </si>
  <si>
    <t>PM in year 2</t>
  </si>
  <si>
    <t>QA #1 (pre-launch)</t>
  </si>
  <si>
    <t>Pre-launch (50%)</t>
  </si>
  <si>
    <t>QA #1 (post-launch)</t>
  </si>
  <si>
    <t>Post-launch full-time</t>
  </si>
  <si>
    <t>Tech operations #1</t>
  </si>
  <si>
    <t>TechOps in year 2</t>
  </si>
  <si>
    <t>Support #1</t>
  </si>
  <si>
    <t>Customer support in year 1</t>
  </si>
  <si>
    <t>Support #2</t>
  </si>
  <si>
    <t>Customer support in year 2</t>
  </si>
  <si>
    <t>Marketing #1 (M1)</t>
  </si>
  <si>
    <t>Part-time marketing manager in year 1</t>
  </si>
  <si>
    <t>Marketing #1 (M7+)</t>
  </si>
  <si>
    <t>Marketing manager full-time in year 1</t>
  </si>
  <si>
    <t>Business development (y1)</t>
  </si>
  <si>
    <t>First sales rep in year 2</t>
  </si>
  <si>
    <t>Business development (y2)</t>
  </si>
  <si>
    <t>Second sales rep in year 2</t>
  </si>
  <si>
    <t>Business development (y3)</t>
  </si>
  <si>
    <t>Third sales rep in year 3</t>
  </si>
  <si>
    <t>CSM #1</t>
  </si>
  <si>
    <t>Customer success manager</t>
  </si>
  <si>
    <t>Admin #1</t>
  </si>
  <si>
    <t>General administration (part-time)</t>
  </si>
  <si>
    <t>Pre-launch product development</t>
  </si>
  <si>
    <t>Outsource MVP development</t>
  </si>
  <si>
    <t>Ongoing development</t>
  </si>
  <si>
    <t>Handover to internal team after launch</t>
  </si>
  <si>
    <t>PEN test</t>
  </si>
  <si>
    <t>Full independant penetration test before launch</t>
  </si>
  <si>
    <t>Initial legal</t>
  </si>
  <si>
    <t>Initial legal input</t>
  </si>
  <si>
    <t>Ongoing legal</t>
  </si>
  <si>
    <t>Ongoing legal input</t>
  </si>
  <si>
    <t>Accountant</t>
  </si>
  <si>
    <t>Bookkeeping &amp; annual return</t>
  </si>
  <si>
    <t>Initial CFO</t>
  </si>
  <si>
    <t>Initial CFO input to prepare for future rounds/exit</t>
  </si>
  <si>
    <t>Ongoing CFO</t>
  </si>
  <si>
    <t>Annual CFO input</t>
  </si>
  <si>
    <t>Software</t>
  </si>
  <si>
    <t>Software to run the business</t>
  </si>
  <si>
    <t>1-year mentorship</t>
  </si>
  <si>
    <t>Yearly mentorship</t>
  </si>
  <si>
    <t>Data</t>
  </si>
  <si>
    <t>Basic monthly subscription</t>
  </si>
  <si>
    <t>Smaller FIs, healthcare providers, SMBs.
Features: self-service, AI chatbot, knowledge base</t>
  </si>
  <si>
    <t>Basic yearly subscription</t>
  </si>
  <si>
    <t>Pro monthly subscription</t>
  </si>
  <si>
    <t>Mid-market banks, hospital systems
Features: API access, priority support</t>
  </si>
  <si>
    <t>Pro yearly subscription</t>
  </si>
  <si>
    <t>Enterprise monthly subscription</t>
  </si>
  <si>
    <t>Large FIs, healthcare systems, multinationals
Features: SOC 2/HIPAA bundle, tailored support</t>
  </si>
  <si>
    <t>Enterprise yearly subscription</t>
  </si>
  <si>
    <t>Module min price</t>
  </si>
  <si>
    <t>Examples: specialised compliance frameworks beyond core bundle (e.g., ISO 27001, SOX, sector-specific templates).
Buyers: typically Pro/Enterprise customers expanding coverage.
Timing: from Version 1 (post-MVP) onwards.</t>
  </si>
  <si>
    <t>Module max price</t>
  </si>
  <si>
    <t>NOTE: This model does not currently include consulting/professional services, usage based pricing, the partner marketplace or the certification program which are all possible future revenue streams.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</si>
</sst>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[$$]#,##0.00"/>
    <numFmt numFmtId="166" formatCode="0.0%"/>
  </numFmts>
  <fonts count="22">
    <font>
      <sz val="10.0"/>
      <color rgb="FF000000"/>
      <name val="Arial"/>
      <scheme val="minor"/>
    </font>
    <font>
      <b/>
      <u/>
      <color rgb="FFFFFFFF"/>
      <name val="Arial"/>
      <scheme val="minor"/>
    </font>
    <font>
      <color rgb="FFFFFFFF"/>
      <name val="Arial"/>
      <scheme val="minor"/>
    </font>
    <font>
      <b/>
      <color rgb="FFFFFFFF"/>
      <name val="Arial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/>
    <font>
      <b/>
      <u/>
      <color rgb="FFFFFFFF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color rgb="FFFFFFFF"/>
      <name val="Arial"/>
    </font>
    <font>
      <b/>
      <u/>
      <color rgb="FFFFFFFF"/>
      <name val="Arial"/>
      <scheme val="minor"/>
    </font>
    <font>
      <u/>
      <color theme="1"/>
      <name val="Arial"/>
    </font>
    <font>
      <color rgb="FFFF0000"/>
      <name val="Arial"/>
    </font>
    <font>
      <b/>
      <u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 vertical="bottom"/>
    </xf>
    <xf borderId="0" fillId="3" fontId="4" numFmtId="3" xfId="0" applyAlignment="1" applyFill="1" applyFont="1" applyNumberFormat="1">
      <alignment horizontal="right" readingOrder="0" vertical="bottom"/>
    </xf>
    <xf borderId="0" fillId="3" fontId="4" numFmtId="9" xfId="0" applyAlignment="1" applyFont="1" applyNumberFormat="1">
      <alignment horizontal="right" readingOrder="0" vertical="bottom"/>
    </xf>
    <xf borderId="0" fillId="2" fontId="3" numFmtId="0" xfId="0" applyAlignment="1" applyFont="1">
      <alignment vertical="bottom"/>
    </xf>
    <xf borderId="0" fillId="3" fontId="4" numFmtId="164" xfId="0" applyAlignment="1" applyFont="1" applyNumberFormat="1">
      <alignment horizontal="right" readingOrder="0" vertical="bottom"/>
    </xf>
    <xf borderId="0" fillId="3" fontId="4" numFmtId="164" xfId="0" applyAlignment="1" applyFont="1" applyNumberFormat="1">
      <alignment horizontal="right" vertical="bottom"/>
    </xf>
    <xf borderId="0" fillId="3" fontId="4" numFmtId="10" xfId="0" applyAlignment="1" applyFont="1" applyNumberFormat="1">
      <alignment horizontal="right" readingOrder="0" vertical="bottom"/>
    </xf>
    <xf borderId="0" fillId="2" fontId="5" numFmtId="0" xfId="0" applyAlignment="1" applyFont="1">
      <alignment readingOrder="0"/>
    </xf>
    <xf borderId="0" fillId="2" fontId="6" numFmtId="0" xfId="0" applyFont="1"/>
    <xf borderId="0" fillId="2" fontId="5" numFmtId="0" xfId="0" applyFont="1"/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6" numFmtId="164" xfId="0" applyFill="1" applyFont="1" applyNumberFormat="1"/>
    <xf borderId="0" fillId="0" fontId="6" numFmtId="164" xfId="0" applyFont="1" applyNumberFormat="1"/>
    <xf borderId="0" fillId="4" fontId="9" numFmtId="164" xfId="0" applyFont="1" applyNumberFormat="1"/>
    <xf borderId="0" fillId="0" fontId="9" numFmtId="164" xfId="0" applyFont="1" applyNumberFormat="1"/>
    <xf borderId="0" fillId="4" fontId="6" numFmtId="0" xfId="0" applyFont="1"/>
    <xf borderId="0" fillId="4" fontId="6" numFmtId="9" xfId="0" applyFont="1" applyNumberFormat="1"/>
    <xf borderId="0" fillId="0" fontId="6" numFmtId="9" xfId="0" applyFont="1" applyNumberFormat="1"/>
    <xf borderId="0" fillId="4" fontId="10" numFmtId="0" xfId="0" applyAlignment="1" applyFont="1">
      <alignment readingOrder="0"/>
    </xf>
    <xf borderId="0" fillId="4" fontId="6" numFmtId="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4" fontId="6" numFmtId="3" xfId="0" applyFont="1" applyNumberFormat="1"/>
    <xf borderId="0" fillId="2" fontId="2" numFmtId="0" xfId="0" applyAlignment="1" applyFont="1">
      <alignment readingOrder="0"/>
    </xf>
    <xf borderId="1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1" fillId="0" fontId="11" numFmtId="0" xfId="0" applyBorder="1" applyFont="1"/>
    <xf borderId="0" fillId="2" fontId="2" numFmtId="0" xfId="0" applyAlignment="1" applyFont="1">
      <alignment horizontal="center"/>
    </xf>
    <xf borderId="1" fillId="0" fontId="6" numFmtId="0" xfId="0" applyBorder="1" applyFont="1"/>
    <xf borderId="0" fillId="2" fontId="12" numFmtId="164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0" fontId="6" numFmtId="0" xfId="0" applyFont="1"/>
    <xf borderId="1" fillId="0" fontId="6" numFmtId="164" xfId="0" applyBorder="1" applyFont="1" applyNumberFormat="1"/>
    <xf borderId="2" fillId="0" fontId="6" numFmtId="164" xfId="0" applyBorder="1" applyFont="1" applyNumberFormat="1"/>
    <xf borderId="1" fillId="0" fontId="6" numFmtId="9" xfId="0" applyAlignment="1" applyBorder="1" applyFont="1" applyNumberFormat="1">
      <alignment readingOrder="0"/>
    </xf>
    <xf borderId="1" fillId="0" fontId="13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2" fontId="2" numFmtId="0" xfId="0" applyAlignment="1" applyFont="1">
      <alignment horizontal="right" readingOrder="0"/>
    </xf>
    <xf borderId="0" fillId="2" fontId="15" numFmtId="3" xfId="0" applyAlignment="1" applyFont="1" applyNumberFormat="1">
      <alignment readingOrder="0"/>
    </xf>
    <xf borderId="1" fillId="0" fontId="6" numFmtId="3" xfId="0" applyAlignment="1" applyBorder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2" fontId="2" numFmtId="3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2" fontId="16" numFmtId="165" xfId="0" applyAlignment="1" applyFont="1" applyNumberFormat="1">
      <alignment readingOrder="0"/>
    </xf>
    <xf borderId="1" fillId="0" fontId="6" numFmtId="165" xfId="0" applyAlignment="1" applyBorder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2" fontId="2" numFmtId="4" xfId="0" applyAlignment="1" applyFont="1" applyNumberFormat="1">
      <alignment readingOrder="0"/>
    </xf>
    <xf borderId="1" fillId="0" fontId="6" numFmtId="4" xfId="0" applyAlignment="1" applyBorder="1" applyFont="1" applyNumberFormat="1">
      <alignment readingOrder="0"/>
    </xf>
    <xf borderId="0" fillId="0" fontId="6" numFmtId="4" xfId="0" applyFont="1" applyNumberFormat="1"/>
    <xf borderId="0" fillId="0" fontId="6" numFmtId="164" xfId="0" applyAlignment="1" applyFont="1" applyNumberFormat="1">
      <alignment readingOrder="0"/>
    </xf>
    <xf borderId="0" fillId="0" fontId="4" numFmtId="164" xfId="0" applyAlignment="1" applyFont="1" applyNumberFormat="1">
      <alignment horizontal="right" vertical="bottom"/>
    </xf>
    <xf borderId="1" fillId="0" fontId="6" numFmtId="164" xfId="0" applyAlignment="1" applyBorder="1" applyFont="1" applyNumberFormat="1">
      <alignment readingOrder="0"/>
    </xf>
    <xf borderId="0" fillId="2" fontId="17" numFmtId="164" xfId="0" applyAlignment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0" fillId="2" fontId="18" numFmtId="3" xfId="0" applyAlignment="1" applyFont="1" applyNumberFormat="1">
      <alignment readingOrder="0"/>
    </xf>
    <xf borderId="0" fillId="0" fontId="19" numFmtId="0" xfId="0" applyAlignment="1" applyFont="1">
      <alignment readingOrder="0" vertical="bottom"/>
    </xf>
    <xf borderId="0" fillId="0" fontId="20" numFmtId="164" xfId="0" applyAlignment="1" applyFont="1" applyNumberFormat="1">
      <alignment vertical="bottom"/>
    </xf>
    <xf borderId="0" fillId="0" fontId="20" numFmtId="3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6" numFmtId="3" xfId="0" applyFont="1" applyNumberFormat="1"/>
    <xf borderId="0" fillId="0" fontId="6" numFmtId="9" xfId="0" applyAlignment="1" applyFont="1" applyNumberFormat="1">
      <alignment readingOrder="0"/>
    </xf>
    <xf borderId="0" fillId="0" fontId="4" numFmtId="3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9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9" xfId="0" applyAlignment="1" applyFont="1" applyNumberFormat="1">
      <alignment horizontal="right" readingOrder="0" vertical="bottom"/>
    </xf>
    <xf borderId="0" fillId="0" fontId="4" numFmtId="10" xfId="0" applyAlignment="1" applyFont="1" applyNumberFormat="1">
      <alignment horizontal="right" vertical="bottom"/>
    </xf>
    <xf borderId="0" fillId="2" fontId="21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Summary!$A$27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Summary!$B$26:$G$26</c:f>
            </c:strRef>
          </c:cat>
          <c:val>
            <c:numRef>
              <c:f>Summary!$B$27:$G$27</c:f>
              <c:numCache/>
            </c:numRef>
          </c:val>
        </c:ser>
        <c:ser>
          <c:idx val="1"/>
          <c:order val="1"/>
          <c:tx>
            <c:strRef>
              <c:f>Summary!$A$28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Summary!$B$26:$G$26</c:f>
            </c:strRef>
          </c:cat>
          <c:val>
            <c:numRef>
              <c:f>Summary!$B$28:$G$28</c:f>
              <c:numCache/>
            </c:numRef>
          </c:val>
        </c:ser>
        <c:ser>
          <c:idx val="2"/>
          <c:order val="2"/>
          <c:tx>
            <c:strRef>
              <c:f>Summary!$A$29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Summary!$B$26:$G$26</c:f>
            </c:strRef>
          </c:cat>
          <c:val>
            <c:numRef>
              <c:f>Summary!$B$29:$G$29</c:f>
              <c:numCache/>
            </c:numRef>
          </c:val>
        </c:ser>
        <c:axId val="463293609"/>
        <c:axId val="419894608"/>
      </c:barChart>
      <c:catAx>
        <c:axId val="463293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894608"/>
      </c:catAx>
      <c:valAx>
        <c:axId val="419894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293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Use of funds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'Investment need'!$C$27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'Investment need'!$A$28:$A$30</c:f>
            </c:strRef>
          </c:cat>
          <c:val>
            <c:numRef>
              <c:f>'Investment need'!$C$28:$C$30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533400</xdr:colOff>
      <xdr:row>12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20</xdr:row>
      <xdr:rowOff>152400</xdr:rowOff>
    </xdr:from>
    <xdr:ext cx="3705225" cy="1914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3.0"/>
    <col customWidth="1" min="2" max="8" width="14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1</v>
      </c>
      <c r="B2" s="4">
        <v>10.0</v>
      </c>
    </row>
    <row r="3">
      <c r="A3" s="3" t="s">
        <v>2</v>
      </c>
      <c r="B3" s="4">
        <v>2.0</v>
      </c>
    </row>
    <row r="4">
      <c r="A4" s="3" t="s">
        <v>3</v>
      </c>
      <c r="B4" s="4">
        <v>8.0</v>
      </c>
    </row>
    <row r="5">
      <c r="A5" s="3" t="s">
        <v>4</v>
      </c>
      <c r="B5" s="4">
        <v>12.0</v>
      </c>
    </row>
    <row r="6">
      <c r="A6" s="3" t="s">
        <v>5</v>
      </c>
      <c r="B6" s="4">
        <v>5.0</v>
      </c>
    </row>
    <row r="7">
      <c r="A7" s="3" t="s">
        <v>6</v>
      </c>
      <c r="B7" s="4">
        <v>3.0</v>
      </c>
    </row>
    <row r="8">
      <c r="A8" s="3" t="s">
        <v>7</v>
      </c>
      <c r="B8" s="4">
        <v>1.0</v>
      </c>
    </row>
    <row r="9">
      <c r="A9" s="3" t="s">
        <v>8</v>
      </c>
      <c r="B9" s="5">
        <v>0.1</v>
      </c>
    </row>
    <row r="10">
      <c r="A10" s="3" t="s">
        <v>9</v>
      </c>
      <c r="B10" s="5">
        <v>0.1</v>
      </c>
    </row>
    <row r="11">
      <c r="A11" s="3" t="s">
        <v>10</v>
      </c>
      <c r="B11" s="5">
        <v>0.1</v>
      </c>
    </row>
    <row r="12">
      <c r="A12" s="3" t="s">
        <v>11</v>
      </c>
      <c r="B12" s="4">
        <v>1.0</v>
      </c>
    </row>
    <row r="13">
      <c r="A13" s="6" t="s">
        <v>12</v>
      </c>
      <c r="B13" s="7">
        <v>5000.0</v>
      </c>
    </row>
    <row r="14">
      <c r="A14" s="6" t="s">
        <v>13</v>
      </c>
      <c r="B14" s="5">
        <v>0.25</v>
      </c>
    </row>
    <row r="15">
      <c r="A15" s="6" t="s">
        <v>14</v>
      </c>
      <c r="B15" s="8">
        <v>1000000.0</v>
      </c>
    </row>
    <row r="16">
      <c r="A16" s="3" t="s">
        <v>15</v>
      </c>
      <c r="B16" s="7">
        <v>800.0</v>
      </c>
    </row>
    <row r="17">
      <c r="A17" s="3" t="s">
        <v>16</v>
      </c>
      <c r="B17" s="7">
        <v>1200.0</v>
      </c>
    </row>
    <row r="18">
      <c r="A18" s="3" t="s">
        <v>17</v>
      </c>
      <c r="B18" s="7">
        <v>1500.0</v>
      </c>
    </row>
    <row r="19">
      <c r="A19" s="6" t="s">
        <v>18</v>
      </c>
      <c r="B19" s="5">
        <v>0.01</v>
      </c>
    </row>
    <row r="20">
      <c r="A20" s="3" t="s">
        <v>19</v>
      </c>
      <c r="B20" s="5">
        <v>2.0</v>
      </c>
    </row>
    <row r="21">
      <c r="A21" s="3" t="s">
        <v>20</v>
      </c>
      <c r="B21" s="9">
        <v>0.01</v>
      </c>
    </row>
    <row r="22">
      <c r="A22" s="3" t="s">
        <v>21</v>
      </c>
      <c r="B22" s="9">
        <v>0.005</v>
      </c>
    </row>
    <row r="23">
      <c r="A23" s="3" t="s">
        <v>22</v>
      </c>
      <c r="B23" s="9">
        <v>0.0025</v>
      </c>
    </row>
    <row r="24">
      <c r="A24" s="10"/>
    </row>
    <row r="25">
      <c r="A25" s="1" t="s">
        <v>23</v>
      </c>
      <c r="B25" s="11"/>
      <c r="C25" s="11"/>
      <c r="D25" s="11"/>
      <c r="E25" s="11"/>
      <c r="F25" s="11"/>
      <c r="G25" s="11"/>
      <c r="H25" s="11"/>
    </row>
    <row r="26">
      <c r="A26" s="12"/>
      <c r="B26" s="13" t="s">
        <v>24</v>
      </c>
      <c r="C26" s="13" t="s">
        <v>25</v>
      </c>
      <c r="D26" s="13" t="s">
        <v>26</v>
      </c>
      <c r="E26" s="13" t="s">
        <v>27</v>
      </c>
      <c r="F26" s="13" t="s">
        <v>28</v>
      </c>
      <c r="G26" s="13" t="s">
        <v>29</v>
      </c>
      <c r="H26" s="13" t="s">
        <v>30</v>
      </c>
      <c r="I26" s="14"/>
      <c r="J26" s="14"/>
      <c r="K26" s="14"/>
      <c r="L26" s="14"/>
      <c r="M26" s="14"/>
      <c r="N26" s="14"/>
      <c r="O26" s="14"/>
    </row>
    <row r="27">
      <c r="A27" s="10" t="s">
        <v>31</v>
      </c>
      <c r="B27" s="15">
        <f>'Business plan'!B29</f>
        <v>0</v>
      </c>
      <c r="C27" s="15">
        <f>'Business plan'!C29</f>
        <v>7924992.114</v>
      </c>
      <c r="D27" s="15">
        <f>'Business plan'!O29</f>
        <v>84628802.96</v>
      </c>
      <c r="E27" s="15">
        <f>'Business plan'!AA29</f>
        <v>441449137.1</v>
      </c>
      <c r="F27" s="15">
        <f>'Business plan'!AM29</f>
        <v>873046222.3</v>
      </c>
      <c r="G27" s="15">
        <f>'Business plan'!AY29</f>
        <v>1249684607</v>
      </c>
      <c r="H27" s="15">
        <f t="shared" ref="H27:H29" si="1">sum(B27:G27)</f>
        <v>2656733762</v>
      </c>
      <c r="I27" s="16"/>
      <c r="J27" s="16"/>
      <c r="K27" s="16"/>
      <c r="L27" s="16"/>
      <c r="M27" s="16"/>
      <c r="N27" s="16"/>
      <c r="O27" s="16"/>
    </row>
    <row r="28">
      <c r="A28" s="10" t="s">
        <v>32</v>
      </c>
      <c r="B28" s="15">
        <f>'Business plan'!B42</f>
        <v>383000</v>
      </c>
      <c r="C28" s="15">
        <f>'Business plan'!C42</f>
        <v>1766386.285</v>
      </c>
      <c r="D28" s="15">
        <f>'Business plan'!O42</f>
        <v>10774812.82</v>
      </c>
      <c r="E28" s="15">
        <f>'Business plan'!AA42</f>
        <v>37850811.93</v>
      </c>
      <c r="F28" s="15">
        <f>'Business plan'!AM42</f>
        <v>59901830.16</v>
      </c>
      <c r="G28" s="15">
        <f>'Business plan'!AY42</f>
        <v>78981646.28</v>
      </c>
      <c r="H28" s="15">
        <f t="shared" si="1"/>
        <v>189658487.5</v>
      </c>
      <c r="I28" s="16"/>
      <c r="J28" s="16"/>
      <c r="K28" s="16"/>
      <c r="L28" s="16"/>
      <c r="M28" s="16"/>
      <c r="N28" s="16"/>
      <c r="O28" s="16"/>
    </row>
    <row r="29">
      <c r="A29" s="10" t="s">
        <v>33</v>
      </c>
      <c r="B29" s="15">
        <f t="shared" ref="B29:G29" si="2">B27-B28</f>
        <v>-383000</v>
      </c>
      <c r="C29" s="15">
        <f t="shared" si="2"/>
        <v>6158605.829</v>
      </c>
      <c r="D29" s="15">
        <f t="shared" si="2"/>
        <v>73853990.14</v>
      </c>
      <c r="E29" s="15">
        <f t="shared" si="2"/>
        <v>403598325.2</v>
      </c>
      <c r="F29" s="15">
        <f t="shared" si="2"/>
        <v>813144392.2</v>
      </c>
      <c r="G29" s="15">
        <f t="shared" si="2"/>
        <v>1170702961</v>
      </c>
      <c r="H29" s="17">
        <f t="shared" si="1"/>
        <v>2467075275</v>
      </c>
      <c r="I29" s="18"/>
      <c r="J29" s="18"/>
      <c r="K29" s="18"/>
      <c r="L29" s="18"/>
      <c r="M29" s="18"/>
      <c r="N29" s="18"/>
      <c r="O29" s="18"/>
    </row>
    <row r="30">
      <c r="A30" s="10" t="s">
        <v>34</v>
      </c>
      <c r="B30" s="19"/>
      <c r="C30" s="20">
        <f t="shared" ref="C30:H30" si="3">C29/C27</f>
        <v>0.7771119189</v>
      </c>
      <c r="D30" s="20">
        <f t="shared" si="3"/>
        <v>0.8726814933</v>
      </c>
      <c r="E30" s="20">
        <f t="shared" si="3"/>
        <v>0.9142578187</v>
      </c>
      <c r="F30" s="20">
        <f t="shared" si="3"/>
        <v>0.9313875616</v>
      </c>
      <c r="G30" s="20">
        <f t="shared" si="3"/>
        <v>0.9367987364</v>
      </c>
      <c r="H30" s="20">
        <f t="shared" si="3"/>
        <v>0.928612159</v>
      </c>
      <c r="I30" s="21"/>
      <c r="J30" s="21"/>
      <c r="K30" s="21"/>
      <c r="L30" s="21"/>
      <c r="M30" s="21"/>
      <c r="N30" s="21"/>
      <c r="O30" s="21"/>
    </row>
    <row r="31">
      <c r="A31" s="12"/>
    </row>
    <row r="32">
      <c r="A32" s="10"/>
      <c r="B32" s="22" t="s">
        <v>35</v>
      </c>
      <c r="C32" s="22" t="s">
        <v>36</v>
      </c>
      <c r="D32" s="22" t="s">
        <v>37</v>
      </c>
    </row>
    <row r="33">
      <c r="A33" s="10" t="s">
        <v>38</v>
      </c>
      <c r="B33" s="15">
        <f>(('Business model'!$B$2*'BP input data'!$B$5)+('Business model'!$B$3*(1-'BP input data'!$B$5)/12))/'BP input data'!$B$26</f>
        <v>85000</v>
      </c>
      <c r="C33" s="15">
        <f>(('Business model'!$B$4*'BP input data'!$B$5)+('Business model'!$B$5*(1-'BP input data'!$B$5)/12))/'BP input data'!$B$27</f>
        <v>850000</v>
      </c>
      <c r="D33" s="15">
        <f>(('Business model'!$B$6*'BP input data'!$B$5)+('Business model'!$B$7*(1-'BP input data'!$B$5)/12))/'BP input data'!$B$28</f>
        <v>2720000</v>
      </c>
    </row>
    <row r="34">
      <c r="A34" s="10" t="s">
        <v>39</v>
      </c>
      <c r="B34" s="23">
        <f>B33/'BP input data'!$B$21</f>
        <v>106.25</v>
      </c>
      <c r="C34" s="23">
        <f>C33/'BP input data'!$B$22</f>
        <v>708.3333333</v>
      </c>
      <c r="D34" s="23">
        <f>D33/'BP input data'!$B$23</f>
        <v>1813.333333</v>
      </c>
    </row>
    <row r="35">
      <c r="A35" s="24"/>
    </row>
    <row r="36">
      <c r="A36" s="10" t="s">
        <v>40</v>
      </c>
      <c r="B36" s="15">
        <f>'Investment need'!B23</f>
        <v>482415.4167</v>
      </c>
    </row>
    <row r="37">
      <c r="A37" s="10" t="s">
        <v>41</v>
      </c>
      <c r="B37" s="19">
        <f t="array" ref="B37">INDEX('Business plan'!C2:BJ2, MATCH(TRUE, INDEX('Business plan'!C45:BJ45 &gt; 0, 0), 0))
</f>
        <v>2</v>
      </c>
    </row>
    <row r="38">
      <c r="A38" s="10" t="s">
        <v>42</v>
      </c>
      <c r="B38" s="19">
        <f t="array" ref="B38">INDEX('Investment need'!C2:BJ2, MATCH(TRUE, INDEX('Investment need'!C19:BJ19 &gt; 0, 0), 0))
</f>
        <v>5</v>
      </c>
    </row>
    <row r="39">
      <c r="A39" s="10" t="s">
        <v>43</v>
      </c>
      <c r="B39" s="15">
        <f>'Business plan'!C40</f>
        <v>56927.08333</v>
      </c>
    </row>
    <row r="40">
      <c r="A40" s="10" t="s">
        <v>44</v>
      </c>
      <c r="B40" s="25">
        <f>(B36-'Business plan'!B40)/B39</f>
        <v>1.746364135</v>
      </c>
    </row>
  </sheetData>
  <printOptions gridLines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9.75"/>
  </cols>
  <sheetData>
    <row r="1">
      <c r="A1" s="26" t="s">
        <v>45</v>
      </c>
      <c r="B1" s="27" t="s">
        <v>24</v>
      </c>
      <c r="C1" s="28">
        <v>1.0</v>
      </c>
      <c r="O1" s="28">
        <f>C1+1</f>
        <v>2</v>
      </c>
      <c r="AA1" s="28">
        <f>O1+1</f>
        <v>3</v>
      </c>
      <c r="AM1" s="28">
        <f>AA1+1</f>
        <v>4</v>
      </c>
      <c r="AY1" s="28">
        <f>AM1+1</f>
        <v>5</v>
      </c>
    </row>
    <row r="2">
      <c r="A2" s="26" t="s">
        <v>46</v>
      </c>
      <c r="B2" s="29"/>
      <c r="C2" s="28">
        <v>1.0</v>
      </c>
      <c r="D2" s="30">
        <f t="shared" ref="D2:BJ2" si="1">C2+1</f>
        <v>2</v>
      </c>
      <c r="E2" s="30">
        <f t="shared" si="1"/>
        <v>3</v>
      </c>
      <c r="F2" s="30">
        <f t="shared" si="1"/>
        <v>4</v>
      </c>
      <c r="G2" s="30">
        <f t="shared" si="1"/>
        <v>5</v>
      </c>
      <c r="H2" s="30">
        <f t="shared" si="1"/>
        <v>6</v>
      </c>
      <c r="I2" s="30">
        <f t="shared" si="1"/>
        <v>7</v>
      </c>
      <c r="J2" s="30">
        <f t="shared" si="1"/>
        <v>8</v>
      </c>
      <c r="K2" s="30">
        <f t="shared" si="1"/>
        <v>9</v>
      </c>
      <c r="L2" s="30">
        <f t="shared" si="1"/>
        <v>10</v>
      </c>
      <c r="M2" s="30">
        <f t="shared" si="1"/>
        <v>11</v>
      </c>
      <c r="N2" s="30">
        <f t="shared" si="1"/>
        <v>12</v>
      </c>
      <c r="O2" s="30">
        <f t="shared" si="1"/>
        <v>13</v>
      </c>
      <c r="P2" s="30">
        <f t="shared" si="1"/>
        <v>14</v>
      </c>
      <c r="Q2" s="30">
        <f t="shared" si="1"/>
        <v>15</v>
      </c>
      <c r="R2" s="30">
        <f t="shared" si="1"/>
        <v>16</v>
      </c>
      <c r="S2" s="30">
        <f t="shared" si="1"/>
        <v>17</v>
      </c>
      <c r="T2" s="30">
        <f t="shared" si="1"/>
        <v>18</v>
      </c>
      <c r="U2" s="30">
        <f t="shared" si="1"/>
        <v>19</v>
      </c>
      <c r="V2" s="30">
        <f t="shared" si="1"/>
        <v>20</v>
      </c>
      <c r="W2" s="30">
        <f t="shared" si="1"/>
        <v>21</v>
      </c>
      <c r="X2" s="30">
        <f t="shared" si="1"/>
        <v>22</v>
      </c>
      <c r="Y2" s="30">
        <f t="shared" si="1"/>
        <v>23</v>
      </c>
      <c r="Z2" s="30">
        <f t="shared" si="1"/>
        <v>24</v>
      </c>
      <c r="AA2" s="30">
        <f t="shared" si="1"/>
        <v>25</v>
      </c>
      <c r="AB2" s="30">
        <f t="shared" si="1"/>
        <v>26</v>
      </c>
      <c r="AC2" s="30">
        <f t="shared" si="1"/>
        <v>27</v>
      </c>
      <c r="AD2" s="30">
        <f t="shared" si="1"/>
        <v>28</v>
      </c>
      <c r="AE2" s="30">
        <f t="shared" si="1"/>
        <v>29</v>
      </c>
      <c r="AF2" s="30">
        <f t="shared" si="1"/>
        <v>30</v>
      </c>
      <c r="AG2" s="30">
        <f t="shared" si="1"/>
        <v>31</v>
      </c>
      <c r="AH2" s="30">
        <f t="shared" si="1"/>
        <v>32</v>
      </c>
      <c r="AI2" s="30">
        <f t="shared" si="1"/>
        <v>33</v>
      </c>
      <c r="AJ2" s="30">
        <f t="shared" si="1"/>
        <v>34</v>
      </c>
      <c r="AK2" s="30">
        <f t="shared" si="1"/>
        <v>35</v>
      </c>
      <c r="AL2" s="30">
        <f t="shared" si="1"/>
        <v>36</v>
      </c>
      <c r="AM2" s="30">
        <f t="shared" si="1"/>
        <v>37</v>
      </c>
      <c r="AN2" s="30">
        <f t="shared" si="1"/>
        <v>38</v>
      </c>
      <c r="AO2" s="30">
        <f t="shared" si="1"/>
        <v>39</v>
      </c>
      <c r="AP2" s="30">
        <f t="shared" si="1"/>
        <v>40</v>
      </c>
      <c r="AQ2" s="30">
        <f t="shared" si="1"/>
        <v>41</v>
      </c>
      <c r="AR2" s="30">
        <f t="shared" si="1"/>
        <v>42</v>
      </c>
      <c r="AS2" s="30">
        <f t="shared" si="1"/>
        <v>43</v>
      </c>
      <c r="AT2" s="30">
        <f t="shared" si="1"/>
        <v>44</v>
      </c>
      <c r="AU2" s="30">
        <f t="shared" si="1"/>
        <v>45</v>
      </c>
      <c r="AV2" s="30">
        <f t="shared" si="1"/>
        <v>46</v>
      </c>
      <c r="AW2" s="30">
        <f t="shared" si="1"/>
        <v>47</v>
      </c>
      <c r="AX2" s="30">
        <f t="shared" si="1"/>
        <v>48</v>
      </c>
      <c r="AY2" s="30">
        <f t="shared" si="1"/>
        <v>49</v>
      </c>
      <c r="AZ2" s="30">
        <f t="shared" si="1"/>
        <v>50</v>
      </c>
      <c r="BA2" s="30">
        <f t="shared" si="1"/>
        <v>51</v>
      </c>
      <c r="BB2" s="30">
        <f t="shared" si="1"/>
        <v>52</v>
      </c>
      <c r="BC2" s="30">
        <f t="shared" si="1"/>
        <v>53</v>
      </c>
      <c r="BD2" s="30">
        <f t="shared" si="1"/>
        <v>54</v>
      </c>
      <c r="BE2" s="30">
        <f t="shared" si="1"/>
        <v>55</v>
      </c>
      <c r="BF2" s="30">
        <f t="shared" si="1"/>
        <v>56</v>
      </c>
      <c r="BG2" s="30">
        <f t="shared" si="1"/>
        <v>57</v>
      </c>
      <c r="BH2" s="30">
        <f t="shared" si="1"/>
        <v>58</v>
      </c>
      <c r="BI2" s="30">
        <f t="shared" si="1"/>
        <v>59</v>
      </c>
      <c r="BJ2" s="30">
        <f t="shared" si="1"/>
        <v>60</v>
      </c>
    </row>
    <row r="3">
      <c r="A3" s="2"/>
      <c r="B3" s="31"/>
    </row>
    <row r="4">
      <c r="A4" s="32" t="s">
        <v>32</v>
      </c>
      <c r="B4" s="31"/>
    </row>
    <row r="5">
      <c r="A5" s="33" t="s">
        <v>47</v>
      </c>
      <c r="B5" s="31">
        <f>Pre_launch_months*SUMPRODUCT(
  (Dev_team_start_month &lt;= COLUMN()-2) *
  (ISBLANK(Dev_team_months) + (COLUMN()-2 &lt;= (Dev_team_start_month + Dev_team_months -1))) *
  Dev_team_value
)
</f>
        <v>42000</v>
      </c>
      <c r="C5" s="34">
        <f>SUMPRODUCT(
  (Dev_team_start_month &lt;= COLUMN()-2) *
  (ISBLANK(Dev_team_months) + (COLUMN()-2 &lt;= (Dev_team_start_month + Dev_team_months -1))) *
  Dev_team_value
)
</f>
        <v>19000</v>
      </c>
      <c r="D5" s="34">
        <f>SUMPRODUCT(
  (Dev_team_start_month &lt;= COLUMN()-2) *
  (ISBLANK(Dev_team_months) + (COLUMN()-2 &lt;= (Dev_team_start_month + Dev_team_months -1))) *
  Dev_team_value
)
</f>
        <v>19000</v>
      </c>
      <c r="E5" s="34">
        <f>SUMPRODUCT(
  (Dev_team_start_month &lt;= COLUMN()-2) *
  (ISBLANK(Dev_team_months) + (COLUMN()-2 &lt;= (Dev_team_start_month + Dev_team_months -1))) *
  Dev_team_value
)
</f>
        <v>25000</v>
      </c>
      <c r="F5" s="34">
        <f>SUMPRODUCT(
  (Dev_team_start_month &lt;= COLUMN()-2) *
  (ISBLANK(Dev_team_months) + (COLUMN()-2 &lt;= (Dev_team_start_month + Dev_team_months -1))) *
  Dev_team_value
)
</f>
        <v>37000</v>
      </c>
      <c r="G5" s="34">
        <f>SUMPRODUCT(
  (Dev_team_start_month &lt;= COLUMN()-2) *
  (ISBLANK(Dev_team_months) + (COLUMN()-2 &lt;= (Dev_team_start_month + Dev_team_months -1))) *
  Dev_team_value
)
</f>
        <v>37000</v>
      </c>
      <c r="H5" s="34">
        <f>SUMPRODUCT(
  (Dev_team_start_month &lt;= COLUMN()-2) *
  (ISBLANK(Dev_team_months) + (COLUMN()-2 &lt;= (Dev_team_start_month + Dev_team_months -1))) *
  Dev_team_value
)
</f>
        <v>37000</v>
      </c>
      <c r="I5" s="34">
        <f>SUMPRODUCT(
  (Dev_team_start_month &lt;= COLUMN()-2) *
  (ISBLANK(Dev_team_months) + (COLUMN()-2 &lt;= (Dev_team_start_month + Dev_team_months -1))) *
  Dev_team_value
)
</f>
        <v>47000</v>
      </c>
      <c r="J5" s="34">
        <f>SUMPRODUCT(
  (Dev_team_start_month &lt;= COLUMN()-2) *
  (ISBLANK(Dev_team_months) + (COLUMN()-2 &lt;= (Dev_team_start_month + Dev_team_months -1))) *
  Dev_team_value
)
</f>
        <v>47000</v>
      </c>
      <c r="K5" s="34">
        <f>SUMPRODUCT(
  (Dev_team_start_month &lt;= COLUMN()-2) *
  (ISBLANK(Dev_team_months) + (COLUMN()-2 &lt;= (Dev_team_start_month + Dev_team_months -1))) *
  Dev_team_value
)
</f>
        <v>47000</v>
      </c>
      <c r="L5" s="34">
        <f>SUMPRODUCT(
  (Dev_team_start_month &lt;= COLUMN()-2) *
  (ISBLANK(Dev_team_months) + (COLUMN()-2 &lt;= (Dev_team_start_month + Dev_team_months -1))) *
  Dev_team_value
)
</f>
        <v>47000</v>
      </c>
      <c r="M5" s="34">
        <f>SUMPRODUCT(
  (Dev_team_start_month &lt;= COLUMN()-2) *
  (ISBLANK(Dev_team_months) + (COLUMN()-2 &lt;= (Dev_team_start_month + Dev_team_months -1))) *
  Dev_team_value
)
</f>
        <v>47000</v>
      </c>
      <c r="N5" s="34">
        <f>SUMPRODUCT(
  (Dev_team_start_month &lt;= COLUMN()-2) *
  (ISBLANK(Dev_team_months) + (COLUMN()-2 &lt;= (Dev_team_start_month + Dev_team_months -1))) *
  Dev_team_value
)
</f>
        <v>47000</v>
      </c>
      <c r="O5" s="34">
        <f>SUMPRODUCT(
  (Dev_team_start_month &lt;= COLUMN()-2) *
  (ISBLANK(Dev_team_months) + (COLUMN()-2 &lt;= (Dev_team_start_month + Dev_team_months -1))) *
  Dev_team_value
)
</f>
        <v>51000</v>
      </c>
      <c r="P5" s="34">
        <f>SUMPRODUCT(
  (Dev_team_start_month &lt;= COLUMN()-2) *
  (ISBLANK(Dev_team_months) + (COLUMN()-2 &lt;= (Dev_team_start_month + Dev_team_months -1))) *
  Dev_team_value
)
</f>
        <v>51000</v>
      </c>
      <c r="Q5" s="34">
        <f>SUMPRODUCT(
  (Dev_team_start_month &lt;= COLUMN()-2) *
  (ISBLANK(Dev_team_months) + (COLUMN()-2 &lt;= (Dev_team_start_month + Dev_team_months -1))) *
  Dev_team_value
)
</f>
        <v>51000</v>
      </c>
      <c r="R5" s="34">
        <f>SUMPRODUCT(
  (Dev_team_start_month &lt;= COLUMN()-2) *
  (ISBLANK(Dev_team_months) + (COLUMN()-2 &lt;= (Dev_team_start_month + Dev_team_months -1))) *
  Dev_team_value
)
</f>
        <v>51000</v>
      </c>
      <c r="S5" s="34">
        <f>SUMPRODUCT(
  (Dev_team_start_month &lt;= COLUMN()-2) *
  (ISBLANK(Dev_team_months) + (COLUMN()-2 &lt;= (Dev_team_start_month + Dev_team_months -1))) *
  Dev_team_value
)
</f>
        <v>51000</v>
      </c>
      <c r="T5" s="34">
        <f>SUMPRODUCT(
  (Dev_team_start_month &lt;= COLUMN()-2) *
  (ISBLANK(Dev_team_months) + (COLUMN()-2 &lt;= (Dev_team_start_month + Dev_team_months -1))) *
  Dev_team_value
)
</f>
        <v>51000</v>
      </c>
      <c r="U5" s="34">
        <f>SUMPRODUCT(
  (Dev_team_start_month &lt;= COLUMN()-2) *
  (ISBLANK(Dev_team_months) + (COLUMN()-2 &lt;= (Dev_team_start_month + Dev_team_months -1))) *
  Dev_team_value
)
</f>
        <v>51000</v>
      </c>
      <c r="V5" s="34">
        <f>SUMPRODUCT(
  (Dev_team_start_month &lt;= COLUMN()-2) *
  (ISBLANK(Dev_team_months) + (COLUMN()-2 &lt;= (Dev_team_start_month + Dev_team_months -1))) *
  Dev_team_value
)
</f>
        <v>51000</v>
      </c>
      <c r="W5" s="34">
        <f>SUMPRODUCT(
  (Dev_team_start_month &lt;= COLUMN()-2) *
  (ISBLANK(Dev_team_months) + (COLUMN()-2 &lt;= (Dev_team_start_month + Dev_team_months -1))) *
  Dev_team_value
)
</f>
        <v>51000</v>
      </c>
      <c r="X5" s="34">
        <f>SUMPRODUCT(
  (Dev_team_start_month &lt;= COLUMN()-2) *
  (ISBLANK(Dev_team_months) + (COLUMN()-2 &lt;= (Dev_team_start_month + Dev_team_months -1))) *
  Dev_team_value
)
</f>
        <v>51000</v>
      </c>
      <c r="Y5" s="34">
        <f>SUMPRODUCT(
  (Dev_team_start_month &lt;= COLUMN()-2) *
  (ISBLANK(Dev_team_months) + (COLUMN()-2 &lt;= (Dev_team_start_month + Dev_team_months -1))) *
  Dev_team_value
)
</f>
        <v>51000</v>
      </c>
      <c r="Z5" s="34">
        <f>SUMPRODUCT(
  (Dev_team_start_month &lt;= COLUMN()-2) *
  (ISBLANK(Dev_team_months) + (COLUMN()-2 &lt;= (Dev_team_start_month + Dev_team_months -1))) *
  Dev_team_value
)
</f>
        <v>51000</v>
      </c>
      <c r="AA5" s="34">
        <f>SUMPRODUCT(
  (Dev_team_start_month &lt;= COLUMN()-2) *
  (ISBLANK(Dev_team_months) + (COLUMN()-2 &lt;= (Dev_team_start_month + Dev_team_months -1))) *
  Dev_team_value
)
</f>
        <v>51000</v>
      </c>
      <c r="AB5" s="34">
        <f>SUMPRODUCT(
  (Dev_team_start_month &lt;= COLUMN()-2) *
  (ISBLANK(Dev_team_months) + (COLUMN()-2 &lt;= (Dev_team_start_month + Dev_team_months -1))) *
  Dev_team_value
)
</f>
        <v>51000</v>
      </c>
      <c r="AC5" s="34">
        <f>SUMPRODUCT(
  (Dev_team_start_month &lt;= COLUMN()-2) *
  (ISBLANK(Dev_team_months) + (COLUMN()-2 &lt;= (Dev_team_start_month + Dev_team_months -1))) *
  Dev_team_value
)
</f>
        <v>51000</v>
      </c>
      <c r="AD5" s="34">
        <f>SUMPRODUCT(
  (Dev_team_start_month &lt;= COLUMN()-2) *
  (ISBLANK(Dev_team_months) + (COLUMN()-2 &lt;= (Dev_team_start_month + Dev_team_months -1))) *
  Dev_team_value
)
</f>
        <v>51000</v>
      </c>
      <c r="AE5" s="34">
        <f>SUMPRODUCT(
  (Dev_team_start_month &lt;= COLUMN()-2) *
  (ISBLANK(Dev_team_months) + (COLUMN()-2 &lt;= (Dev_team_start_month + Dev_team_months -1))) *
  Dev_team_value
)
</f>
        <v>51000</v>
      </c>
      <c r="AF5" s="34">
        <f>SUMPRODUCT(
  (Dev_team_start_month &lt;= COLUMN()-2) *
  (ISBLANK(Dev_team_months) + (COLUMN()-2 &lt;= (Dev_team_start_month + Dev_team_months -1))) *
  Dev_team_value
)
</f>
        <v>51000</v>
      </c>
      <c r="AG5" s="34">
        <f>SUMPRODUCT(
  (Dev_team_start_month &lt;= COLUMN()-2) *
  (ISBLANK(Dev_team_months) + (COLUMN()-2 &lt;= (Dev_team_start_month + Dev_team_months -1))) *
  Dev_team_value
)
</f>
        <v>51000</v>
      </c>
      <c r="AH5" s="34">
        <f>SUMPRODUCT(
  (Dev_team_start_month &lt;= COLUMN()-2) *
  (ISBLANK(Dev_team_months) + (COLUMN()-2 &lt;= (Dev_team_start_month + Dev_team_months -1))) *
  Dev_team_value
)
</f>
        <v>51000</v>
      </c>
      <c r="AI5" s="34">
        <f>SUMPRODUCT(
  (Dev_team_start_month &lt;= COLUMN()-2) *
  (ISBLANK(Dev_team_months) + (COLUMN()-2 &lt;= (Dev_team_start_month + Dev_team_months -1))) *
  Dev_team_value
)
</f>
        <v>51000</v>
      </c>
      <c r="AJ5" s="34">
        <f>SUMPRODUCT(
  (Dev_team_start_month &lt;= COLUMN()-2) *
  (ISBLANK(Dev_team_months) + (COLUMN()-2 &lt;= (Dev_team_start_month + Dev_team_months -1))) *
  Dev_team_value
)
</f>
        <v>51000</v>
      </c>
      <c r="AK5" s="34">
        <f>SUMPRODUCT(
  (Dev_team_start_month &lt;= COLUMN()-2) *
  (ISBLANK(Dev_team_months) + (COLUMN()-2 &lt;= (Dev_team_start_month + Dev_team_months -1))) *
  Dev_team_value
)
</f>
        <v>51000</v>
      </c>
      <c r="AL5" s="34">
        <f>SUMPRODUCT(
  (Dev_team_start_month &lt;= COLUMN()-2) *
  (ISBLANK(Dev_team_months) + (COLUMN()-2 &lt;= (Dev_team_start_month + Dev_team_months -1))) *
  Dev_team_value
)
</f>
        <v>51000</v>
      </c>
      <c r="AM5" s="34">
        <f>SUMPRODUCT(
  (Dev_team_start_month &lt;= COLUMN()-2) *
  (ISBLANK(Dev_team_months) + (COLUMN()-2 &lt;= (Dev_team_start_month + Dev_team_months -1))) *
  Dev_team_value
)
</f>
        <v>51000</v>
      </c>
      <c r="AN5" s="34">
        <f>SUMPRODUCT(
  (Dev_team_start_month &lt;= COLUMN()-2) *
  (ISBLANK(Dev_team_months) + (COLUMN()-2 &lt;= (Dev_team_start_month + Dev_team_months -1))) *
  Dev_team_value
)
</f>
        <v>51000</v>
      </c>
      <c r="AO5" s="34">
        <f>SUMPRODUCT(
  (Dev_team_start_month &lt;= COLUMN()-2) *
  (ISBLANK(Dev_team_months) + (COLUMN()-2 &lt;= (Dev_team_start_month + Dev_team_months -1))) *
  Dev_team_value
)
</f>
        <v>51000</v>
      </c>
      <c r="AP5" s="34">
        <f>SUMPRODUCT(
  (Dev_team_start_month &lt;= COLUMN()-2) *
  (ISBLANK(Dev_team_months) + (COLUMN()-2 &lt;= (Dev_team_start_month + Dev_team_months -1))) *
  Dev_team_value
)
</f>
        <v>51000</v>
      </c>
      <c r="AQ5" s="34">
        <f>SUMPRODUCT(
  (Dev_team_start_month &lt;= COLUMN()-2) *
  (ISBLANK(Dev_team_months) + (COLUMN()-2 &lt;= (Dev_team_start_month + Dev_team_months -1))) *
  Dev_team_value
)
</f>
        <v>51000</v>
      </c>
      <c r="AR5" s="34">
        <f>SUMPRODUCT(
  (Dev_team_start_month &lt;= COLUMN()-2) *
  (ISBLANK(Dev_team_months) + (COLUMN()-2 &lt;= (Dev_team_start_month + Dev_team_months -1))) *
  Dev_team_value
)
</f>
        <v>51000</v>
      </c>
      <c r="AS5" s="34">
        <f>SUMPRODUCT(
  (Dev_team_start_month &lt;= COLUMN()-2) *
  (ISBLANK(Dev_team_months) + (COLUMN()-2 &lt;= (Dev_team_start_month + Dev_team_months -1))) *
  Dev_team_value
)
</f>
        <v>51000</v>
      </c>
      <c r="AT5" s="34">
        <f>SUMPRODUCT(
  (Dev_team_start_month &lt;= COLUMN()-2) *
  (ISBLANK(Dev_team_months) + (COLUMN()-2 &lt;= (Dev_team_start_month + Dev_team_months -1))) *
  Dev_team_value
)
</f>
        <v>51000</v>
      </c>
      <c r="AU5" s="34">
        <f>SUMPRODUCT(
  (Dev_team_start_month &lt;= COLUMN()-2) *
  (ISBLANK(Dev_team_months) + (COLUMN()-2 &lt;= (Dev_team_start_month + Dev_team_months -1))) *
  Dev_team_value
)
</f>
        <v>51000</v>
      </c>
      <c r="AV5" s="34">
        <f>SUMPRODUCT(
  (Dev_team_start_month &lt;= COLUMN()-2) *
  (ISBLANK(Dev_team_months) + (COLUMN()-2 &lt;= (Dev_team_start_month + Dev_team_months -1))) *
  Dev_team_value
)
</f>
        <v>51000</v>
      </c>
      <c r="AW5" s="34">
        <f>SUMPRODUCT(
  (Dev_team_start_month &lt;= COLUMN()-2) *
  (ISBLANK(Dev_team_months) + (COLUMN()-2 &lt;= (Dev_team_start_month + Dev_team_months -1))) *
  Dev_team_value
)
</f>
        <v>51000</v>
      </c>
      <c r="AX5" s="34">
        <f>SUMPRODUCT(
  (Dev_team_start_month &lt;= COLUMN()-2) *
  (ISBLANK(Dev_team_months) + (COLUMN()-2 &lt;= (Dev_team_start_month + Dev_team_months -1))) *
  Dev_team_value
)
</f>
        <v>51000</v>
      </c>
      <c r="AY5" s="34">
        <f>SUMPRODUCT(
  (Dev_team_start_month &lt;= COLUMN()-2) *
  (ISBLANK(Dev_team_months) + (COLUMN()-2 &lt;= (Dev_team_start_month + Dev_team_months -1))) *
  Dev_team_value
)
</f>
        <v>51000</v>
      </c>
      <c r="AZ5" s="34">
        <f>SUMPRODUCT(
  (Dev_team_start_month &lt;= COLUMN()-2) *
  (ISBLANK(Dev_team_months) + (COLUMN()-2 &lt;= (Dev_team_start_month + Dev_team_months -1))) *
  Dev_team_value
)
</f>
        <v>51000</v>
      </c>
      <c r="BA5" s="34">
        <f>SUMPRODUCT(
  (Dev_team_start_month &lt;= COLUMN()-2) *
  (ISBLANK(Dev_team_months) + (COLUMN()-2 &lt;= (Dev_team_start_month + Dev_team_months -1))) *
  Dev_team_value
)
</f>
        <v>51000</v>
      </c>
      <c r="BB5" s="34">
        <f>SUMPRODUCT(
  (Dev_team_start_month &lt;= COLUMN()-2) *
  (ISBLANK(Dev_team_months) + (COLUMN()-2 &lt;= (Dev_team_start_month + Dev_team_months -1))) *
  Dev_team_value
)
</f>
        <v>51000</v>
      </c>
      <c r="BC5" s="34">
        <f>SUMPRODUCT(
  (Dev_team_start_month &lt;= COLUMN()-2) *
  (ISBLANK(Dev_team_months) + (COLUMN()-2 &lt;= (Dev_team_start_month + Dev_team_months -1))) *
  Dev_team_value
)
</f>
        <v>51000</v>
      </c>
      <c r="BD5" s="34">
        <f>SUMPRODUCT(
  (Dev_team_start_month &lt;= COLUMN()-2) *
  (ISBLANK(Dev_team_months) + (COLUMN()-2 &lt;= (Dev_team_start_month + Dev_team_months -1))) *
  Dev_team_value
)
</f>
        <v>51000</v>
      </c>
      <c r="BE5" s="34">
        <f>SUMPRODUCT(
  (Dev_team_start_month &lt;= COLUMN()-2) *
  (ISBLANK(Dev_team_months) + (COLUMN()-2 &lt;= (Dev_team_start_month + Dev_team_months -1))) *
  Dev_team_value
)
</f>
        <v>51000</v>
      </c>
      <c r="BF5" s="34">
        <f>SUMPRODUCT(
  (Dev_team_start_month &lt;= COLUMN()-2) *
  (ISBLANK(Dev_team_months) + (COLUMN()-2 &lt;= (Dev_team_start_month + Dev_team_months -1))) *
  Dev_team_value
)
</f>
        <v>51000</v>
      </c>
      <c r="BG5" s="34">
        <f>SUMPRODUCT(
  (Dev_team_start_month &lt;= COLUMN()-2) *
  (ISBLANK(Dev_team_months) + (COLUMN()-2 &lt;= (Dev_team_start_month + Dev_team_months -1))) *
  Dev_team_value
)
</f>
        <v>51000</v>
      </c>
      <c r="BH5" s="34">
        <f>SUMPRODUCT(
  (Dev_team_start_month &lt;= COLUMN()-2) *
  (ISBLANK(Dev_team_months) + (COLUMN()-2 &lt;= (Dev_team_start_month + Dev_team_months -1))) *
  Dev_team_value
)
</f>
        <v>51000</v>
      </c>
      <c r="BI5" s="34">
        <f>SUMPRODUCT(
  (Dev_team_start_month &lt;= COLUMN()-2) *
  (ISBLANK(Dev_team_months) + (COLUMN()-2 &lt;= (Dev_team_start_month + Dev_team_months -1))) *
  Dev_team_value
)
</f>
        <v>51000</v>
      </c>
      <c r="BJ5" s="34">
        <f>SUMPRODUCT(
  (Dev_team_start_month &lt;= COLUMN()-2) *
  (ISBLANK(Dev_team_months) + (COLUMN()-2 &lt;= (Dev_team_start_month + Dev_team_months -1))) *
  Dev_team_value
)
</f>
        <v>51000</v>
      </c>
    </row>
    <row r="6">
      <c r="A6" s="33" t="s">
        <v>48</v>
      </c>
      <c r="B6" s="31">
        <f>Pre_launch_months*SUMPRODUCT(
  (SM_team_start_month &lt;= COLUMN()-2) *
  (ISBLANK(SM_team_months) + (COLUMN()-2 &lt;= (SM_team_start_month + SM_team_months -1))) *
  SM_team_value
)
</f>
        <v>0</v>
      </c>
      <c r="C6" s="34">
        <f>SUMPRODUCT(
  (SM_team_start_month &lt;= COLUMN()-2) *
  (ISBLANK(SM_team_months) + (COLUMN()-2 &lt;= (SM_team_start_month + SM_team_months -1))) *
  SM_team_value
)
</f>
        <v>14500</v>
      </c>
      <c r="D6" s="34">
        <f>SUMPRODUCT(
  (SM_team_start_month &lt;= COLUMN()-2) *
  (ISBLANK(SM_team_months) + (COLUMN()-2 &lt;= (SM_team_start_month + SM_team_months -1))) *
  SM_team_value
)
</f>
        <v>14500</v>
      </c>
      <c r="E6" s="34">
        <f>SUMPRODUCT(
  (SM_team_start_month &lt;= COLUMN()-2) *
  (ISBLANK(SM_team_months) + (COLUMN()-2 &lt;= (SM_team_start_month + SM_team_months -1))) *
  SM_team_value
)
</f>
        <v>14500</v>
      </c>
      <c r="F6" s="34">
        <f>SUMPRODUCT(
  (SM_team_start_month &lt;= COLUMN()-2) *
  (ISBLANK(SM_team_months) + (COLUMN()-2 &lt;= (SM_team_start_month + SM_team_months -1))) *
  SM_team_value
)
</f>
        <v>14500</v>
      </c>
      <c r="G6" s="34">
        <f>SUMPRODUCT(
  (SM_team_start_month &lt;= COLUMN()-2) *
  (ISBLANK(SM_team_months) + (COLUMN()-2 &lt;= (SM_team_start_month + SM_team_months -1))) *
  SM_team_value
)
</f>
        <v>14500</v>
      </c>
      <c r="H6" s="34">
        <f>SUMPRODUCT(
  (SM_team_start_month &lt;= COLUMN()-2) *
  (ISBLANK(SM_team_months) + (COLUMN()-2 &lt;= (SM_team_start_month + SM_team_months -1))) *
  SM_team_value
)
</f>
        <v>14500</v>
      </c>
      <c r="I6" s="34">
        <f>SUMPRODUCT(
  (SM_team_start_month &lt;= COLUMN()-2) *
  (ISBLANK(SM_team_months) + (COLUMN()-2 &lt;= (SM_team_start_month + SM_team_months -1))) *
  SM_team_value
)
</f>
        <v>17000</v>
      </c>
      <c r="J6" s="34">
        <f>SUMPRODUCT(
  (SM_team_start_month &lt;= COLUMN()-2) *
  (ISBLANK(SM_team_months) + (COLUMN()-2 &lt;= (SM_team_start_month + SM_team_months -1))) *
  SM_team_value
)
</f>
        <v>17000</v>
      </c>
      <c r="K6" s="34">
        <f>SUMPRODUCT(
  (SM_team_start_month &lt;= COLUMN()-2) *
  (ISBLANK(SM_team_months) + (COLUMN()-2 &lt;= (SM_team_start_month + SM_team_months -1))) *
  SM_team_value
)
</f>
        <v>17000</v>
      </c>
      <c r="L6" s="34">
        <f>SUMPRODUCT(
  (SM_team_start_month &lt;= COLUMN()-2) *
  (ISBLANK(SM_team_months) + (COLUMN()-2 &lt;= (SM_team_start_month + SM_team_months -1))) *
  SM_team_value
)
</f>
        <v>17000</v>
      </c>
      <c r="M6" s="34">
        <f>SUMPRODUCT(
  (SM_team_start_month &lt;= COLUMN()-2) *
  (ISBLANK(SM_team_months) + (COLUMN()-2 &lt;= (SM_team_start_month + SM_team_months -1))) *
  SM_team_value
)
</f>
        <v>17000</v>
      </c>
      <c r="N6" s="34">
        <f>SUMPRODUCT(
  (SM_team_start_month &lt;= COLUMN()-2) *
  (ISBLANK(SM_team_months) + (COLUMN()-2 &lt;= (SM_team_start_month + SM_team_months -1))) *
  SM_team_value
)
</f>
        <v>17000</v>
      </c>
      <c r="O6" s="34">
        <f>SUMPRODUCT(
  (SM_team_start_month &lt;= COLUMN()-2) *
  (ISBLANK(SM_team_months) + (COLUMN()-2 &lt;= (SM_team_start_month + SM_team_months -1))) *
  SM_team_value
)
</f>
        <v>65000</v>
      </c>
      <c r="P6" s="34">
        <f>SUMPRODUCT(
  (SM_team_start_month &lt;= COLUMN()-2) *
  (ISBLANK(SM_team_months) + (COLUMN()-2 &lt;= (SM_team_start_month + SM_team_months -1))) *
  SM_team_value
)
</f>
        <v>65000</v>
      </c>
      <c r="Q6" s="34">
        <f>SUMPRODUCT(
  (SM_team_start_month &lt;= COLUMN()-2) *
  (ISBLANK(SM_team_months) + (COLUMN()-2 &lt;= (SM_team_start_month + SM_team_months -1))) *
  SM_team_value
)
</f>
        <v>65000</v>
      </c>
      <c r="R6" s="34">
        <f>SUMPRODUCT(
  (SM_team_start_month &lt;= COLUMN()-2) *
  (ISBLANK(SM_team_months) + (COLUMN()-2 &lt;= (SM_team_start_month + SM_team_months -1))) *
  SM_team_value
)
</f>
        <v>65000</v>
      </c>
      <c r="S6" s="34">
        <f>SUMPRODUCT(
  (SM_team_start_month &lt;= COLUMN()-2) *
  (ISBLANK(SM_team_months) + (COLUMN()-2 &lt;= (SM_team_start_month + SM_team_months -1))) *
  SM_team_value
)
</f>
        <v>65000</v>
      </c>
      <c r="T6" s="34">
        <f>SUMPRODUCT(
  (SM_team_start_month &lt;= COLUMN()-2) *
  (ISBLANK(SM_team_months) + (COLUMN()-2 &lt;= (SM_team_start_month + SM_team_months -1))) *
  SM_team_value
)
</f>
        <v>65000</v>
      </c>
      <c r="U6" s="34">
        <f>SUMPRODUCT(
  (SM_team_start_month &lt;= COLUMN()-2) *
  (ISBLANK(SM_team_months) + (COLUMN()-2 &lt;= (SM_team_start_month + SM_team_months -1))) *
  SM_team_value
)
</f>
        <v>65000</v>
      </c>
      <c r="V6" s="34">
        <f>SUMPRODUCT(
  (SM_team_start_month &lt;= COLUMN()-2) *
  (ISBLANK(SM_team_months) + (COLUMN()-2 &lt;= (SM_team_start_month + SM_team_months -1))) *
  SM_team_value
)
</f>
        <v>65000</v>
      </c>
      <c r="W6" s="34">
        <f>SUMPRODUCT(
  (SM_team_start_month &lt;= COLUMN()-2) *
  (ISBLANK(SM_team_months) + (COLUMN()-2 &lt;= (SM_team_start_month + SM_team_months -1))) *
  SM_team_value
)
</f>
        <v>65000</v>
      </c>
      <c r="X6" s="34">
        <f>SUMPRODUCT(
  (SM_team_start_month &lt;= COLUMN()-2) *
  (ISBLANK(SM_team_months) + (COLUMN()-2 &lt;= (SM_team_start_month + SM_team_months -1))) *
  SM_team_value
)
</f>
        <v>65000</v>
      </c>
      <c r="Y6" s="34">
        <f>SUMPRODUCT(
  (SM_team_start_month &lt;= COLUMN()-2) *
  (ISBLANK(SM_team_months) + (COLUMN()-2 &lt;= (SM_team_start_month + SM_team_months -1))) *
  SM_team_value
)
</f>
        <v>65000</v>
      </c>
      <c r="Z6" s="34">
        <f>SUMPRODUCT(
  (SM_team_start_month &lt;= COLUMN()-2) *
  (ISBLANK(SM_team_months) + (COLUMN()-2 &lt;= (SM_team_start_month + SM_team_months -1))) *
  SM_team_value
)
</f>
        <v>65000</v>
      </c>
      <c r="AA6" s="34">
        <f>SUMPRODUCT(
  (SM_team_start_month &lt;= COLUMN()-2) *
  (ISBLANK(SM_team_months) + (COLUMN()-2 &lt;= (SM_team_start_month + SM_team_months -1))) *
  SM_team_value
)
</f>
        <v>137000</v>
      </c>
      <c r="AB6" s="34">
        <f>SUMPRODUCT(
  (SM_team_start_month &lt;= COLUMN()-2) *
  (ISBLANK(SM_team_months) + (COLUMN()-2 &lt;= (SM_team_start_month + SM_team_months -1))) *
  SM_team_value
)
</f>
        <v>137000</v>
      </c>
      <c r="AC6" s="34">
        <f>SUMPRODUCT(
  (SM_team_start_month &lt;= COLUMN()-2) *
  (ISBLANK(SM_team_months) + (COLUMN()-2 &lt;= (SM_team_start_month + SM_team_months -1))) *
  SM_team_value
)
</f>
        <v>137000</v>
      </c>
      <c r="AD6" s="34">
        <f>SUMPRODUCT(
  (SM_team_start_month &lt;= COLUMN()-2) *
  (ISBLANK(SM_team_months) + (COLUMN()-2 &lt;= (SM_team_start_month + SM_team_months -1))) *
  SM_team_value
)
</f>
        <v>137000</v>
      </c>
      <c r="AE6" s="34">
        <f>SUMPRODUCT(
  (SM_team_start_month &lt;= COLUMN()-2) *
  (ISBLANK(SM_team_months) + (COLUMN()-2 &lt;= (SM_team_start_month + SM_team_months -1))) *
  SM_team_value
)
</f>
        <v>137000</v>
      </c>
      <c r="AF6" s="34">
        <f>SUMPRODUCT(
  (SM_team_start_month &lt;= COLUMN()-2) *
  (ISBLANK(SM_team_months) + (COLUMN()-2 &lt;= (SM_team_start_month + SM_team_months -1))) *
  SM_team_value
)
</f>
        <v>137000</v>
      </c>
      <c r="AG6" s="34">
        <f>SUMPRODUCT(
  (SM_team_start_month &lt;= COLUMN()-2) *
  (ISBLANK(SM_team_months) + (COLUMN()-2 &lt;= (SM_team_start_month + SM_team_months -1))) *
  SM_team_value
)
</f>
        <v>137000</v>
      </c>
      <c r="AH6" s="34">
        <f>SUMPRODUCT(
  (SM_team_start_month &lt;= COLUMN()-2) *
  (ISBLANK(SM_team_months) + (COLUMN()-2 &lt;= (SM_team_start_month + SM_team_months -1))) *
  SM_team_value
)
</f>
        <v>137000</v>
      </c>
      <c r="AI6" s="34">
        <f>SUMPRODUCT(
  (SM_team_start_month &lt;= COLUMN()-2) *
  (ISBLANK(SM_team_months) + (COLUMN()-2 &lt;= (SM_team_start_month + SM_team_months -1))) *
  SM_team_value
)
</f>
        <v>137000</v>
      </c>
      <c r="AJ6" s="34">
        <f>SUMPRODUCT(
  (SM_team_start_month &lt;= COLUMN()-2) *
  (ISBLANK(SM_team_months) + (COLUMN()-2 &lt;= (SM_team_start_month + SM_team_months -1))) *
  SM_team_value
)
</f>
        <v>137000</v>
      </c>
      <c r="AK6" s="34">
        <f>SUMPRODUCT(
  (SM_team_start_month &lt;= COLUMN()-2) *
  (ISBLANK(SM_team_months) + (COLUMN()-2 &lt;= (SM_team_start_month + SM_team_months -1))) *
  SM_team_value
)
</f>
        <v>137000</v>
      </c>
      <c r="AL6" s="34">
        <f>SUMPRODUCT(
  (SM_team_start_month &lt;= COLUMN()-2) *
  (ISBLANK(SM_team_months) + (COLUMN()-2 &lt;= (SM_team_start_month + SM_team_months -1))) *
  SM_team_value
)
</f>
        <v>137000</v>
      </c>
      <c r="AM6" s="34">
        <f>SUMPRODUCT(
  (SM_team_start_month &lt;= COLUMN()-2) *
  (ISBLANK(SM_team_months) + (COLUMN()-2 &lt;= (SM_team_start_month + SM_team_months -1))) *
  SM_team_value
)
</f>
        <v>137000</v>
      </c>
      <c r="AN6" s="34">
        <f>SUMPRODUCT(
  (SM_team_start_month &lt;= COLUMN()-2) *
  (ISBLANK(SM_team_months) + (COLUMN()-2 &lt;= (SM_team_start_month + SM_team_months -1))) *
  SM_team_value
)
</f>
        <v>137000</v>
      </c>
      <c r="AO6" s="34">
        <f>SUMPRODUCT(
  (SM_team_start_month &lt;= COLUMN()-2) *
  (ISBLANK(SM_team_months) + (COLUMN()-2 &lt;= (SM_team_start_month + SM_team_months -1))) *
  SM_team_value
)
</f>
        <v>137000</v>
      </c>
      <c r="AP6" s="34">
        <f>SUMPRODUCT(
  (SM_team_start_month &lt;= COLUMN()-2) *
  (ISBLANK(SM_team_months) + (COLUMN()-2 &lt;= (SM_team_start_month + SM_team_months -1))) *
  SM_team_value
)
</f>
        <v>137000</v>
      </c>
      <c r="AQ6" s="34">
        <f>SUMPRODUCT(
  (SM_team_start_month &lt;= COLUMN()-2) *
  (ISBLANK(SM_team_months) + (COLUMN()-2 &lt;= (SM_team_start_month + SM_team_months -1))) *
  SM_team_value
)
</f>
        <v>137000</v>
      </c>
      <c r="AR6" s="34">
        <f>SUMPRODUCT(
  (SM_team_start_month &lt;= COLUMN()-2) *
  (ISBLANK(SM_team_months) + (COLUMN()-2 &lt;= (SM_team_start_month + SM_team_months -1))) *
  SM_team_value
)
</f>
        <v>137000</v>
      </c>
      <c r="AS6" s="34">
        <f>SUMPRODUCT(
  (SM_team_start_month &lt;= COLUMN()-2) *
  (ISBLANK(SM_team_months) + (COLUMN()-2 &lt;= (SM_team_start_month + SM_team_months -1))) *
  SM_team_value
)
</f>
        <v>137000</v>
      </c>
      <c r="AT6" s="34">
        <f>SUMPRODUCT(
  (SM_team_start_month &lt;= COLUMN()-2) *
  (ISBLANK(SM_team_months) + (COLUMN()-2 &lt;= (SM_team_start_month + SM_team_months -1))) *
  SM_team_value
)
</f>
        <v>137000</v>
      </c>
      <c r="AU6" s="34">
        <f>SUMPRODUCT(
  (SM_team_start_month &lt;= COLUMN()-2) *
  (ISBLANK(SM_team_months) + (COLUMN()-2 &lt;= (SM_team_start_month + SM_team_months -1))) *
  SM_team_value
)
</f>
        <v>137000</v>
      </c>
      <c r="AV6" s="34">
        <f>SUMPRODUCT(
  (SM_team_start_month &lt;= COLUMN()-2) *
  (ISBLANK(SM_team_months) + (COLUMN()-2 &lt;= (SM_team_start_month + SM_team_months -1))) *
  SM_team_value
)
</f>
        <v>137000</v>
      </c>
      <c r="AW6" s="34">
        <f>SUMPRODUCT(
  (SM_team_start_month &lt;= COLUMN()-2) *
  (ISBLANK(SM_team_months) + (COLUMN()-2 &lt;= (SM_team_start_month + SM_team_months -1))) *
  SM_team_value
)
</f>
        <v>137000</v>
      </c>
      <c r="AX6" s="34">
        <f>SUMPRODUCT(
  (SM_team_start_month &lt;= COLUMN()-2) *
  (ISBLANK(SM_team_months) + (COLUMN()-2 &lt;= (SM_team_start_month + SM_team_months -1))) *
  SM_team_value
)
</f>
        <v>137000</v>
      </c>
      <c r="AY6" s="34">
        <f>SUMPRODUCT(
  (SM_team_start_month &lt;= COLUMN()-2) *
  (ISBLANK(SM_team_months) + (COLUMN()-2 &lt;= (SM_team_start_month + SM_team_months -1))) *
  SM_team_value
)
</f>
        <v>137000</v>
      </c>
      <c r="AZ6" s="34">
        <f>SUMPRODUCT(
  (SM_team_start_month &lt;= COLUMN()-2) *
  (ISBLANK(SM_team_months) + (COLUMN()-2 &lt;= (SM_team_start_month + SM_team_months -1))) *
  SM_team_value
)
</f>
        <v>137000</v>
      </c>
      <c r="BA6" s="34">
        <f>SUMPRODUCT(
  (SM_team_start_month &lt;= COLUMN()-2) *
  (ISBLANK(SM_team_months) + (COLUMN()-2 &lt;= (SM_team_start_month + SM_team_months -1))) *
  SM_team_value
)
</f>
        <v>137000</v>
      </c>
      <c r="BB6" s="34">
        <f>SUMPRODUCT(
  (SM_team_start_month &lt;= COLUMN()-2) *
  (ISBLANK(SM_team_months) + (COLUMN()-2 &lt;= (SM_team_start_month + SM_team_months -1))) *
  SM_team_value
)
</f>
        <v>137000</v>
      </c>
      <c r="BC6" s="34">
        <f>SUMPRODUCT(
  (SM_team_start_month &lt;= COLUMN()-2) *
  (ISBLANK(SM_team_months) + (COLUMN()-2 &lt;= (SM_team_start_month + SM_team_months -1))) *
  SM_team_value
)
</f>
        <v>137000</v>
      </c>
      <c r="BD6" s="34">
        <f>SUMPRODUCT(
  (SM_team_start_month &lt;= COLUMN()-2) *
  (ISBLANK(SM_team_months) + (COLUMN()-2 &lt;= (SM_team_start_month + SM_team_months -1))) *
  SM_team_value
)
</f>
        <v>137000</v>
      </c>
      <c r="BE6" s="34">
        <f>SUMPRODUCT(
  (SM_team_start_month &lt;= COLUMN()-2) *
  (ISBLANK(SM_team_months) + (COLUMN()-2 &lt;= (SM_team_start_month + SM_team_months -1))) *
  SM_team_value
)
</f>
        <v>137000</v>
      </c>
      <c r="BF6" s="34">
        <f>SUMPRODUCT(
  (SM_team_start_month &lt;= COLUMN()-2) *
  (ISBLANK(SM_team_months) + (COLUMN()-2 &lt;= (SM_team_start_month + SM_team_months -1))) *
  SM_team_value
)
</f>
        <v>137000</v>
      </c>
      <c r="BG6" s="34">
        <f>SUMPRODUCT(
  (SM_team_start_month &lt;= COLUMN()-2) *
  (ISBLANK(SM_team_months) + (COLUMN()-2 &lt;= (SM_team_start_month + SM_team_months -1))) *
  SM_team_value
)
</f>
        <v>137000</v>
      </c>
      <c r="BH6" s="34">
        <f>SUMPRODUCT(
  (SM_team_start_month &lt;= COLUMN()-2) *
  (ISBLANK(SM_team_months) + (COLUMN()-2 &lt;= (SM_team_start_month + SM_team_months -1))) *
  SM_team_value
)
</f>
        <v>137000</v>
      </c>
      <c r="BI6" s="34">
        <f>SUMPRODUCT(
  (SM_team_start_month &lt;= COLUMN()-2) *
  (ISBLANK(SM_team_months) + (COLUMN()-2 &lt;= (SM_team_start_month + SM_team_months -1))) *
  SM_team_value
)
</f>
        <v>137000</v>
      </c>
      <c r="BJ6" s="34">
        <f>SUMPRODUCT(
  (SM_team_start_month &lt;= COLUMN()-2) *
  (ISBLANK(SM_team_months) + (COLUMN()-2 &lt;= (SM_team_start_month + SM_team_months -1))) *
  SM_team_value
)
</f>
        <v>137000</v>
      </c>
    </row>
    <row r="7">
      <c r="A7" s="33" t="s">
        <v>49</v>
      </c>
      <c r="B7" s="35">
        <f>'Business plan'!B34+B5</f>
        <v>302000</v>
      </c>
      <c r="C7" s="16">
        <f>'Business plan'!C34+C5</f>
        <v>19000</v>
      </c>
      <c r="D7" s="16">
        <f>'Business plan'!D34+D5</f>
        <v>19000</v>
      </c>
      <c r="E7" s="16">
        <f>'Business plan'!E34+E5</f>
        <v>25000</v>
      </c>
      <c r="F7" s="16">
        <f>'Business plan'!F34+F5</f>
        <v>37000</v>
      </c>
      <c r="G7" s="16">
        <f>'Business plan'!G34+G5</f>
        <v>37000</v>
      </c>
      <c r="H7" s="16">
        <f>'Business plan'!H34+H5</f>
        <v>37000</v>
      </c>
      <c r="I7" s="16">
        <f>'Business plan'!I34+I5</f>
        <v>47000</v>
      </c>
      <c r="J7" s="16">
        <f>'Business plan'!J34+J5</f>
        <v>47000</v>
      </c>
      <c r="K7" s="16">
        <f>'Business plan'!K34+K5</f>
        <v>47000</v>
      </c>
      <c r="L7" s="16">
        <f>'Business plan'!L34+L5</f>
        <v>47000</v>
      </c>
      <c r="M7" s="16">
        <f>'Business plan'!M34+M5</f>
        <v>47000</v>
      </c>
      <c r="N7" s="16">
        <f>'Business plan'!N34+N5</f>
        <v>47000</v>
      </c>
      <c r="O7" s="16">
        <f>'Business plan'!O34+O5</f>
        <v>51000</v>
      </c>
      <c r="P7" s="16">
        <f>'Business plan'!P34+P5</f>
        <v>51000</v>
      </c>
      <c r="Q7" s="16">
        <f>'Business plan'!Q34+Q5</f>
        <v>51000</v>
      </c>
      <c r="R7" s="16">
        <f>'Business plan'!R34+R5</f>
        <v>51000</v>
      </c>
      <c r="S7" s="16">
        <f>'Business plan'!S34+S5</f>
        <v>51000</v>
      </c>
      <c r="T7" s="16">
        <f>'Business plan'!T34+T5</f>
        <v>51000</v>
      </c>
      <c r="U7" s="16">
        <f>'Business plan'!U34+U5</f>
        <v>51000</v>
      </c>
      <c r="V7" s="16">
        <f>'Business plan'!V34+V5</f>
        <v>51000</v>
      </c>
      <c r="W7" s="16">
        <f>'Business plan'!W34+W5</f>
        <v>51000</v>
      </c>
      <c r="X7" s="16">
        <f>'Business plan'!X34+X5</f>
        <v>51000</v>
      </c>
      <c r="Y7" s="16">
        <f>'Business plan'!Y34+Y5</f>
        <v>51000</v>
      </c>
      <c r="Z7" s="16">
        <f>'Business plan'!Z34+Z5</f>
        <v>51000</v>
      </c>
      <c r="AA7" s="16">
        <f>'Business plan'!AA34+AA5</f>
        <v>51000</v>
      </c>
      <c r="AB7" s="16">
        <f>'Business plan'!AB34+AB5</f>
        <v>51000</v>
      </c>
      <c r="AC7" s="16">
        <f>'Business plan'!AC34+AC5</f>
        <v>51000</v>
      </c>
      <c r="AD7" s="16">
        <f>'Business plan'!AD34+AD5</f>
        <v>51000</v>
      </c>
      <c r="AE7" s="16">
        <f>'Business plan'!AE34+AE5</f>
        <v>51000</v>
      </c>
      <c r="AF7" s="16">
        <f>'Business plan'!AF34+AF5</f>
        <v>51000</v>
      </c>
      <c r="AG7" s="16">
        <f>'Business plan'!AG34+AG5</f>
        <v>51000</v>
      </c>
      <c r="AH7" s="16">
        <f>'Business plan'!AH34+AH5</f>
        <v>51000</v>
      </c>
      <c r="AI7" s="16">
        <f>'Business plan'!AI34+AI5</f>
        <v>51000</v>
      </c>
      <c r="AJ7" s="16">
        <f>'Business plan'!AJ34+AJ5</f>
        <v>51000</v>
      </c>
      <c r="AK7" s="16">
        <f>'Business plan'!AK34+AK5</f>
        <v>51000</v>
      </c>
      <c r="AL7" s="16">
        <f>'Business plan'!AL34+AL5</f>
        <v>51000</v>
      </c>
      <c r="AM7" s="16">
        <f>'Business plan'!AM34+AM5</f>
        <v>51000</v>
      </c>
      <c r="AN7" s="16">
        <f>'Business plan'!AN34+AN5</f>
        <v>51000</v>
      </c>
      <c r="AO7" s="16">
        <f>'Business plan'!AO34+AO5</f>
        <v>51000</v>
      </c>
      <c r="AP7" s="16">
        <f>'Business plan'!AP34+AP5</f>
        <v>51000</v>
      </c>
      <c r="AQ7" s="16">
        <f>'Business plan'!AQ34+AQ5</f>
        <v>51000</v>
      </c>
      <c r="AR7" s="16">
        <f>'Business plan'!AR34+AR5</f>
        <v>51000</v>
      </c>
      <c r="AS7" s="16">
        <f>'Business plan'!AS34+AS5</f>
        <v>51000</v>
      </c>
      <c r="AT7" s="16">
        <f>'Business plan'!AT34+AT5</f>
        <v>51000</v>
      </c>
      <c r="AU7" s="16">
        <f>'Business plan'!AU34+AU5</f>
        <v>51000</v>
      </c>
      <c r="AV7" s="16">
        <f>'Business plan'!AV34+AV5</f>
        <v>51000</v>
      </c>
      <c r="AW7" s="16">
        <f>'Business plan'!AW34+AW5</f>
        <v>51000</v>
      </c>
      <c r="AX7" s="16">
        <f>'Business plan'!AX34+AX5</f>
        <v>51000</v>
      </c>
      <c r="AY7" s="16">
        <f>'Business plan'!AY34+AY5</f>
        <v>51000</v>
      </c>
      <c r="AZ7" s="16">
        <f>'Business plan'!AZ34+AZ5</f>
        <v>51000</v>
      </c>
      <c r="BA7" s="16">
        <f>'Business plan'!BA34+BA5</f>
        <v>51000</v>
      </c>
      <c r="BB7" s="16">
        <f>'Business plan'!BB34+BB5</f>
        <v>51000</v>
      </c>
      <c r="BC7" s="16">
        <f>'Business plan'!BC34+BC5</f>
        <v>51000</v>
      </c>
      <c r="BD7" s="16">
        <f>'Business plan'!BD34+BD5</f>
        <v>51000</v>
      </c>
      <c r="BE7" s="16">
        <f>'Business plan'!BE34+BE5</f>
        <v>51000</v>
      </c>
      <c r="BF7" s="16">
        <f>'Business plan'!BF34+BF5</f>
        <v>51000</v>
      </c>
      <c r="BG7" s="16">
        <f>'Business plan'!BG34+BG5</f>
        <v>51000</v>
      </c>
      <c r="BH7" s="16">
        <f>'Business plan'!BH34+BH5</f>
        <v>51000</v>
      </c>
      <c r="BI7" s="16">
        <f>'Business plan'!BI34+BI5</f>
        <v>51000</v>
      </c>
      <c r="BJ7" s="16">
        <f>'Business plan'!BJ34+BJ5</f>
        <v>51000</v>
      </c>
    </row>
    <row r="8">
      <c r="A8" s="33" t="s">
        <v>50</v>
      </c>
      <c r="B8" s="35" t="str">
        <f>'Business plan'!B35</f>
        <v/>
      </c>
      <c r="C8" s="16">
        <f>'Business plan'!C35</f>
        <v>5000</v>
      </c>
      <c r="D8" s="16">
        <f>'Business plan'!D35</f>
        <v>6250</v>
      </c>
      <c r="E8" s="16">
        <f>'Business plan'!E35</f>
        <v>7812.5</v>
      </c>
      <c r="F8" s="16">
        <f>'Business plan'!F35</f>
        <v>9765.625</v>
      </c>
      <c r="G8" s="16">
        <f>'Business plan'!G35</f>
        <v>12207.03125</v>
      </c>
      <c r="H8" s="16">
        <f>'Business plan'!H35</f>
        <v>15258.78906</v>
      </c>
      <c r="I8" s="16">
        <f>'Business plan'!I35</f>
        <v>19073.48633</v>
      </c>
      <c r="J8" s="16">
        <f>'Business plan'!J35</f>
        <v>23841.85791</v>
      </c>
      <c r="K8" s="16">
        <f>'Business plan'!K35</f>
        <v>29802.32239</v>
      </c>
      <c r="L8" s="16">
        <f>'Business plan'!L35</f>
        <v>37252.90298</v>
      </c>
      <c r="M8" s="16">
        <f>'Business plan'!M35</f>
        <v>46566.12873</v>
      </c>
      <c r="N8" s="16">
        <f>'Business plan'!N35</f>
        <v>58207.66091</v>
      </c>
      <c r="O8" s="16">
        <f>'Business plan'!O35</f>
        <v>72759.57614</v>
      </c>
      <c r="P8" s="16">
        <f>'Business plan'!P35</f>
        <v>90949.47018</v>
      </c>
      <c r="Q8" s="16">
        <f>'Business plan'!Q35</f>
        <v>113686.8377</v>
      </c>
      <c r="R8" s="16">
        <f>'Business plan'!R35</f>
        <v>142108.5472</v>
      </c>
      <c r="S8" s="16">
        <f>'Business plan'!S35</f>
        <v>177635.6839</v>
      </c>
      <c r="T8" s="16">
        <f>'Business plan'!T35</f>
        <v>222044.6049</v>
      </c>
      <c r="U8" s="16">
        <f>'Business plan'!U35</f>
        <v>277555.7562</v>
      </c>
      <c r="V8" s="16">
        <f>'Business plan'!V35</f>
        <v>346944.6952</v>
      </c>
      <c r="W8" s="16">
        <f>'Business plan'!W35</f>
        <v>433680.869</v>
      </c>
      <c r="X8" s="16">
        <f>'Business plan'!X35</f>
        <v>542101.0862</v>
      </c>
      <c r="Y8" s="16">
        <f>'Business plan'!Y35</f>
        <v>677626.3578</v>
      </c>
      <c r="Z8" s="16">
        <f>'Business plan'!Z35</f>
        <v>847032.9473</v>
      </c>
      <c r="AA8" s="16">
        <f>'Business plan'!AA35</f>
        <v>1000000</v>
      </c>
      <c r="AB8" s="16">
        <f>'Business plan'!AB35</f>
        <v>1000000</v>
      </c>
      <c r="AC8" s="16">
        <f>'Business plan'!AC35</f>
        <v>1000000</v>
      </c>
      <c r="AD8" s="16">
        <f>'Business plan'!AD35</f>
        <v>1000000</v>
      </c>
      <c r="AE8" s="16">
        <f>'Business plan'!AE35</f>
        <v>1000000</v>
      </c>
      <c r="AF8" s="16">
        <f>'Business plan'!AF35</f>
        <v>1000000</v>
      </c>
      <c r="AG8" s="16">
        <f>'Business plan'!AG35</f>
        <v>1000000</v>
      </c>
      <c r="AH8" s="16">
        <f>'Business plan'!AH35</f>
        <v>1000000</v>
      </c>
      <c r="AI8" s="16">
        <f>'Business plan'!AI35</f>
        <v>1000000</v>
      </c>
      <c r="AJ8" s="16">
        <f>'Business plan'!AJ35</f>
        <v>1000000</v>
      </c>
      <c r="AK8" s="16">
        <f>'Business plan'!AK35</f>
        <v>1000000</v>
      </c>
      <c r="AL8" s="16">
        <f>'Business plan'!AL35</f>
        <v>1000000</v>
      </c>
      <c r="AM8" s="16">
        <f>'Business plan'!AM35</f>
        <v>1000000</v>
      </c>
      <c r="AN8" s="16">
        <f>'Business plan'!AN35</f>
        <v>1000000</v>
      </c>
      <c r="AO8" s="16">
        <f>'Business plan'!AO35</f>
        <v>1000000</v>
      </c>
      <c r="AP8" s="16">
        <f>'Business plan'!AP35</f>
        <v>1000000</v>
      </c>
      <c r="AQ8" s="16">
        <f>'Business plan'!AQ35</f>
        <v>1000000</v>
      </c>
      <c r="AR8" s="16">
        <f>'Business plan'!AR35</f>
        <v>1000000</v>
      </c>
      <c r="AS8" s="16">
        <f>'Business plan'!AS35</f>
        <v>1000000</v>
      </c>
      <c r="AT8" s="16">
        <f>'Business plan'!AT35</f>
        <v>1000000</v>
      </c>
      <c r="AU8" s="16">
        <f>'Business plan'!AU35</f>
        <v>1000000</v>
      </c>
      <c r="AV8" s="16">
        <f>'Business plan'!AV35</f>
        <v>1000000</v>
      </c>
      <c r="AW8" s="16">
        <f>'Business plan'!AW35</f>
        <v>1000000</v>
      </c>
      <c r="AX8" s="16">
        <f>'Business plan'!AX35</f>
        <v>1000000</v>
      </c>
      <c r="AY8" s="16">
        <f>'Business plan'!AY35</f>
        <v>1000000</v>
      </c>
      <c r="AZ8" s="16">
        <f>'Business plan'!AZ35</f>
        <v>1000000</v>
      </c>
      <c r="BA8" s="16">
        <f>'Business plan'!BA35</f>
        <v>1000000</v>
      </c>
      <c r="BB8" s="16">
        <f>'Business plan'!BB35</f>
        <v>1000000</v>
      </c>
      <c r="BC8" s="16">
        <f>'Business plan'!BC35</f>
        <v>1000000</v>
      </c>
      <c r="BD8" s="16">
        <f>'Business plan'!BD35</f>
        <v>1000000</v>
      </c>
      <c r="BE8" s="16">
        <f>'Business plan'!BE35</f>
        <v>1000000</v>
      </c>
      <c r="BF8" s="16">
        <f>'Business plan'!BF35</f>
        <v>1000000</v>
      </c>
      <c r="BG8" s="16">
        <f>'Business plan'!BG35</f>
        <v>1000000</v>
      </c>
      <c r="BH8" s="16">
        <f>'Business plan'!BH35</f>
        <v>1000000</v>
      </c>
      <c r="BI8" s="16">
        <f>'Business plan'!BI35</f>
        <v>1000000</v>
      </c>
      <c r="BJ8" s="16">
        <f>'Business plan'!BJ35</f>
        <v>1000000</v>
      </c>
    </row>
    <row r="9">
      <c r="A9" s="33" t="s">
        <v>51</v>
      </c>
      <c r="B9" s="35" t="str">
        <f>'Business plan'!B36</f>
        <v/>
      </c>
      <c r="C9" s="16">
        <f>'Business plan'!C36</f>
        <v>2927.083333</v>
      </c>
      <c r="D9" s="16">
        <f>'Business plan'!D36</f>
        <v>8629.698845</v>
      </c>
      <c r="E9" s="16">
        <f>'Business plan'!E36</f>
        <v>14641.91017</v>
      </c>
      <c r="F9" s="16">
        <f>'Business plan'!F36</f>
        <v>23389.1194</v>
      </c>
      <c r="G9" s="16">
        <f>'Business plan'!G36</f>
        <v>32434.39164</v>
      </c>
      <c r="H9" s="16">
        <f>'Business plan'!H36</f>
        <v>41865.03769</v>
      </c>
      <c r="I9" s="16">
        <f>'Business plan'!I36</f>
        <v>52112.78418</v>
      </c>
      <c r="J9" s="16">
        <f>'Business plan'!J36</f>
        <v>62982.35777</v>
      </c>
      <c r="K9" s="16">
        <f>'Business plan'!K36</f>
        <v>74638.73237</v>
      </c>
      <c r="L9" s="16">
        <f>'Business plan'!L36</f>
        <v>88035.91502</v>
      </c>
      <c r="M9" s="16">
        <f>'Business plan'!M36</f>
        <v>101424.3477</v>
      </c>
      <c r="N9" s="16">
        <f>'Business plan'!N36</f>
        <v>116266.6027</v>
      </c>
      <c r="O9" s="16">
        <f>'Business plan'!O36</f>
        <v>133615.8195</v>
      </c>
      <c r="P9" s="16">
        <f>'Business plan'!P36</f>
        <v>163380.4414</v>
      </c>
      <c r="Q9" s="16">
        <f>'Business plan'!Q36</f>
        <v>196051.5839</v>
      </c>
      <c r="R9" s="16">
        <f>'Business plan'!R36</f>
        <v>238361.6493</v>
      </c>
      <c r="S9" s="16">
        <f>'Business plan'!S36</f>
        <v>285186.6544</v>
      </c>
      <c r="T9" s="16">
        <f>'Business plan'!T36</f>
        <v>337647.6387</v>
      </c>
      <c r="U9" s="16">
        <f>'Business plan'!U36</f>
        <v>396881.5775</v>
      </c>
      <c r="V9" s="16">
        <f>'Business plan'!V36</f>
        <v>464855.2035</v>
      </c>
      <c r="W9" s="16">
        <f>'Business plan'!W36</f>
        <v>543691.9695</v>
      </c>
      <c r="X9" s="16">
        <f>'Business plan'!X36</f>
        <v>638019.4742</v>
      </c>
      <c r="Y9" s="16">
        <f>'Business plan'!Y36</f>
        <v>749084.2635</v>
      </c>
      <c r="Z9" s="16">
        <f>'Business plan'!Z36</f>
        <v>880910.1118</v>
      </c>
      <c r="AA9" s="16">
        <f>'Business plan'!AA36</f>
        <v>1032037.331</v>
      </c>
      <c r="AB9" s="16">
        <f>'Business plan'!AB36</f>
        <v>1196184.674</v>
      </c>
      <c r="AC9" s="16">
        <f>'Business plan'!AC36</f>
        <v>1358224.772</v>
      </c>
      <c r="AD9" s="16">
        <f>'Business plan'!AD36</f>
        <v>1527181.506</v>
      </c>
      <c r="AE9" s="16">
        <f>'Business plan'!AE36</f>
        <v>1694033.495</v>
      </c>
      <c r="AF9" s="16">
        <f>'Business plan'!AF36</f>
        <v>1858804.325</v>
      </c>
      <c r="AG9" s="16">
        <f>'Business plan'!AG36</f>
        <v>2021517.323</v>
      </c>
      <c r="AH9" s="16">
        <f>'Business plan'!AH36</f>
        <v>2182195.561</v>
      </c>
      <c r="AI9" s="16">
        <f>'Business plan'!AI36</f>
        <v>2340861.86</v>
      </c>
      <c r="AJ9" s="16">
        <f>'Business plan'!AJ36</f>
        <v>2500538.79</v>
      </c>
      <c r="AK9" s="16">
        <f>'Business plan'!AK36</f>
        <v>2658241.177</v>
      </c>
      <c r="AL9" s="16">
        <f>'Business plan'!AL36</f>
        <v>2813991.118</v>
      </c>
      <c r="AM9" s="16">
        <f>'Business plan'!AM36</f>
        <v>2967810.473</v>
      </c>
      <c r="AN9" s="16">
        <f>'Business plan'!AN36</f>
        <v>3119720.858</v>
      </c>
      <c r="AO9" s="16">
        <f>'Business plan'!AO36</f>
        <v>3269743.657</v>
      </c>
      <c r="AP9" s="16">
        <f>'Business plan'!AP36</f>
        <v>3417900.02</v>
      </c>
      <c r="AQ9" s="16">
        <f>'Business plan'!AQ36</f>
        <v>3564210.863</v>
      </c>
      <c r="AR9" s="16">
        <f>'Business plan'!AR36</f>
        <v>3708696.876</v>
      </c>
      <c r="AS9" s="16">
        <f>'Business plan'!AS36</f>
        <v>3851378.522</v>
      </c>
      <c r="AT9" s="16">
        <f>'Business plan'!AT36</f>
        <v>3992276.041</v>
      </c>
      <c r="AU9" s="16">
        <f>'Business plan'!AU36</f>
        <v>4131409.45</v>
      </c>
      <c r="AV9" s="16">
        <f>'Business plan'!AV36</f>
        <v>4268798.548</v>
      </c>
      <c r="AW9" s="16">
        <f>'Business plan'!AW36</f>
        <v>4404462.919</v>
      </c>
      <c r="AX9" s="16">
        <f>'Business plan'!AX36</f>
        <v>4538421.931</v>
      </c>
      <c r="AY9" s="16">
        <f>'Business plan'!AY36</f>
        <v>4670694.741</v>
      </c>
      <c r="AZ9" s="16">
        <f>'Business plan'!AZ36</f>
        <v>4801300.295</v>
      </c>
      <c r="BA9" s="16">
        <f>'Business plan'!BA36</f>
        <v>4930257.334</v>
      </c>
      <c r="BB9" s="16">
        <f>'Business plan'!BB36</f>
        <v>5057584.393</v>
      </c>
      <c r="BC9" s="16">
        <f>'Business plan'!BC36</f>
        <v>5183299.803</v>
      </c>
      <c r="BD9" s="16">
        <f>'Business plan'!BD36</f>
        <v>5307421.697</v>
      </c>
      <c r="BE9" s="16">
        <f>'Business plan'!BE36</f>
        <v>5429968.007</v>
      </c>
      <c r="BF9" s="16">
        <f>'Business plan'!BF36</f>
        <v>5550956.47</v>
      </c>
      <c r="BG9" s="16">
        <f>'Business plan'!BG36</f>
        <v>5670404.629</v>
      </c>
      <c r="BH9" s="16">
        <f>'Business plan'!BH36</f>
        <v>5788329.834</v>
      </c>
      <c r="BI9" s="16">
        <f>'Business plan'!BI36</f>
        <v>5904749.246</v>
      </c>
      <c r="BJ9" s="16">
        <f>'Business plan'!BJ36</f>
        <v>6019679.837</v>
      </c>
    </row>
    <row r="10">
      <c r="A10" s="33" t="s">
        <v>52</v>
      </c>
      <c r="B10" s="35">
        <f>'Business plan'!B37-B5</f>
        <v>36000</v>
      </c>
      <c r="C10" s="16">
        <f>'Business plan'!C37-C5</f>
        <v>25500</v>
      </c>
      <c r="D10" s="16">
        <f>'Business plan'!D37-D5</f>
        <v>25500</v>
      </c>
      <c r="E10" s="16">
        <f>'Business plan'!E37-E5</f>
        <v>25500</v>
      </c>
      <c r="F10" s="16">
        <f>'Business plan'!F37-F5</f>
        <v>25500</v>
      </c>
      <c r="G10" s="16">
        <f>'Business plan'!G37-G5</f>
        <v>25500</v>
      </c>
      <c r="H10" s="16">
        <f>'Business plan'!H37-H5</f>
        <v>25500</v>
      </c>
      <c r="I10" s="16">
        <f>'Business plan'!I37-I5</f>
        <v>32000</v>
      </c>
      <c r="J10" s="16">
        <f>'Business plan'!J37-J5</f>
        <v>32000</v>
      </c>
      <c r="K10" s="16">
        <f>'Business plan'!K37-K5</f>
        <v>32000</v>
      </c>
      <c r="L10" s="16">
        <f>'Business plan'!L37-L5</f>
        <v>32000</v>
      </c>
      <c r="M10" s="16">
        <f>'Business plan'!M37-M5</f>
        <v>32000</v>
      </c>
      <c r="N10" s="16">
        <f>'Business plan'!N37-N5</f>
        <v>26000</v>
      </c>
      <c r="O10" s="16">
        <f>'Business plan'!O37-O5</f>
        <v>92500</v>
      </c>
      <c r="P10" s="16">
        <f>'Business plan'!P37-P5</f>
        <v>92500</v>
      </c>
      <c r="Q10" s="16">
        <f>'Business plan'!Q37-Q5</f>
        <v>92500</v>
      </c>
      <c r="R10" s="16">
        <f>'Business plan'!R37-R5</f>
        <v>92500</v>
      </c>
      <c r="S10" s="16">
        <f>'Business plan'!S37-S5</f>
        <v>92500</v>
      </c>
      <c r="T10" s="16">
        <f>'Business plan'!T37-T5</f>
        <v>92500</v>
      </c>
      <c r="U10" s="16">
        <f>'Business plan'!U37-U5</f>
        <v>92500</v>
      </c>
      <c r="V10" s="16">
        <f>'Business plan'!V37-V5</f>
        <v>92500</v>
      </c>
      <c r="W10" s="16">
        <f>'Business plan'!W37-W5</f>
        <v>92500</v>
      </c>
      <c r="X10" s="16">
        <f>'Business plan'!X37-X5</f>
        <v>92500</v>
      </c>
      <c r="Y10" s="16">
        <f>'Business plan'!Y37-Y5</f>
        <v>92500</v>
      </c>
      <c r="Z10" s="16">
        <f>'Business plan'!Z37-Z5</f>
        <v>92500</v>
      </c>
      <c r="AA10" s="16">
        <f>'Business plan'!AA37-AA5</f>
        <v>164500</v>
      </c>
      <c r="AB10" s="16">
        <f>'Business plan'!AB37-AB5</f>
        <v>164500</v>
      </c>
      <c r="AC10" s="16">
        <f>'Business plan'!AC37-AC5</f>
        <v>164500</v>
      </c>
      <c r="AD10" s="16">
        <f>'Business plan'!AD37-AD5</f>
        <v>164500</v>
      </c>
      <c r="AE10" s="16">
        <f>'Business plan'!AE37-AE5</f>
        <v>164500</v>
      </c>
      <c r="AF10" s="16">
        <f>'Business plan'!AF37-AF5</f>
        <v>164500</v>
      </c>
      <c r="AG10" s="16">
        <f>'Business plan'!AG37-AG5</f>
        <v>164500</v>
      </c>
      <c r="AH10" s="16">
        <f>'Business plan'!AH37-AH5</f>
        <v>164500</v>
      </c>
      <c r="AI10" s="16">
        <f>'Business plan'!AI37-AI5</f>
        <v>164500</v>
      </c>
      <c r="AJ10" s="16">
        <f>'Business plan'!AJ37-AJ5</f>
        <v>164500</v>
      </c>
      <c r="AK10" s="16">
        <f>'Business plan'!AK37-AK5</f>
        <v>164500</v>
      </c>
      <c r="AL10" s="16">
        <f>'Business plan'!AL37-AL5</f>
        <v>164500</v>
      </c>
      <c r="AM10" s="16">
        <f>'Business plan'!AM37-AM5</f>
        <v>164500</v>
      </c>
      <c r="AN10" s="16">
        <f>'Business plan'!AN37-AN5</f>
        <v>164500</v>
      </c>
      <c r="AO10" s="16">
        <f>'Business plan'!AO37-AO5</f>
        <v>164500</v>
      </c>
      <c r="AP10" s="16">
        <f>'Business plan'!AP37-AP5</f>
        <v>164500</v>
      </c>
      <c r="AQ10" s="16">
        <f>'Business plan'!AQ37-AQ5</f>
        <v>164500</v>
      </c>
      <c r="AR10" s="16">
        <f>'Business plan'!AR37-AR5</f>
        <v>164500</v>
      </c>
      <c r="AS10" s="16">
        <f>'Business plan'!AS37-AS5</f>
        <v>164500</v>
      </c>
      <c r="AT10" s="16">
        <f>'Business plan'!AT37-AT5</f>
        <v>164500</v>
      </c>
      <c r="AU10" s="16">
        <f>'Business plan'!AU37-AU5</f>
        <v>164500</v>
      </c>
      <c r="AV10" s="16">
        <f>'Business plan'!AV37-AV5</f>
        <v>164500</v>
      </c>
      <c r="AW10" s="16">
        <f>'Business plan'!AW37-AW5</f>
        <v>164500</v>
      </c>
      <c r="AX10" s="16">
        <f>'Business plan'!AX37-AX5</f>
        <v>164500</v>
      </c>
      <c r="AY10" s="16">
        <f>'Business plan'!AY37-AY5</f>
        <v>164500</v>
      </c>
      <c r="AZ10" s="16">
        <f>'Business plan'!AZ37-AZ5</f>
        <v>164500</v>
      </c>
      <c r="BA10" s="16">
        <f>'Business plan'!BA37-BA5</f>
        <v>164500</v>
      </c>
      <c r="BB10" s="16">
        <f>'Business plan'!BB37-BB5</f>
        <v>164500</v>
      </c>
      <c r="BC10" s="16">
        <f>'Business plan'!BC37-BC5</f>
        <v>164500</v>
      </c>
      <c r="BD10" s="16">
        <f>'Business plan'!BD37-BD5</f>
        <v>164500</v>
      </c>
      <c r="BE10" s="16">
        <f>'Business plan'!BE37-BE5</f>
        <v>164500</v>
      </c>
      <c r="BF10" s="16">
        <f>'Business plan'!BF37-BF5</f>
        <v>164500</v>
      </c>
      <c r="BG10" s="16">
        <f>'Business plan'!BG37-BG5</f>
        <v>164500</v>
      </c>
      <c r="BH10" s="16">
        <f>'Business plan'!BH37-BH5</f>
        <v>164500</v>
      </c>
      <c r="BI10" s="16">
        <f>'Business plan'!BI37-BI5</f>
        <v>164500</v>
      </c>
      <c r="BJ10" s="16">
        <f>'Business plan'!BJ37-BJ5</f>
        <v>164500</v>
      </c>
    </row>
    <row r="11">
      <c r="A11" s="33" t="s">
        <v>53</v>
      </c>
      <c r="B11" s="35">
        <f>'Business plan'!B38</f>
        <v>12000</v>
      </c>
      <c r="C11" s="16">
        <f>'Business plan'!C38</f>
        <v>3500</v>
      </c>
      <c r="D11" s="16">
        <f>'Business plan'!D38</f>
        <v>3500</v>
      </c>
      <c r="E11" s="16">
        <f>'Business plan'!E38</f>
        <v>3500</v>
      </c>
      <c r="F11" s="16">
        <f>'Business plan'!F38</f>
        <v>3500</v>
      </c>
      <c r="G11" s="16">
        <f>'Business plan'!G38</f>
        <v>3500</v>
      </c>
      <c r="H11" s="16">
        <f>'Business plan'!H38</f>
        <v>3500</v>
      </c>
      <c r="I11" s="16">
        <f>'Business plan'!I38</f>
        <v>3500</v>
      </c>
      <c r="J11" s="16">
        <f>'Business plan'!J38</f>
        <v>3500</v>
      </c>
      <c r="K11" s="16">
        <f>'Business plan'!K38</f>
        <v>3500</v>
      </c>
      <c r="L11" s="16">
        <f>'Business plan'!L38</f>
        <v>3500</v>
      </c>
      <c r="M11" s="16">
        <f>'Business plan'!M38</f>
        <v>3500</v>
      </c>
      <c r="N11" s="16">
        <f>'Business plan'!N38</f>
        <v>3500</v>
      </c>
      <c r="O11" s="16">
        <f>'Business plan'!O38</f>
        <v>3500</v>
      </c>
      <c r="P11" s="16">
        <f>'Business plan'!P38</f>
        <v>3500</v>
      </c>
      <c r="Q11" s="16">
        <f>'Business plan'!Q38</f>
        <v>3500</v>
      </c>
      <c r="R11" s="16">
        <f>'Business plan'!R38</f>
        <v>3500</v>
      </c>
      <c r="S11" s="16">
        <f>'Business plan'!S38</f>
        <v>3500</v>
      </c>
      <c r="T11" s="16">
        <f>'Business plan'!T38</f>
        <v>3500</v>
      </c>
      <c r="U11" s="16">
        <f>'Business plan'!U38</f>
        <v>3500</v>
      </c>
      <c r="V11" s="16">
        <f>'Business plan'!V38</f>
        <v>3500</v>
      </c>
      <c r="W11" s="16">
        <f>'Business plan'!W38</f>
        <v>3500</v>
      </c>
      <c r="X11" s="16">
        <f>'Business plan'!X38</f>
        <v>3500</v>
      </c>
      <c r="Y11" s="16">
        <f>'Business plan'!Y38</f>
        <v>3500</v>
      </c>
      <c r="Z11" s="16">
        <f>'Business plan'!Z38</f>
        <v>3500</v>
      </c>
      <c r="AA11" s="16">
        <f>'Business plan'!AA38</f>
        <v>3500</v>
      </c>
      <c r="AB11" s="16">
        <f>'Business plan'!AB38</f>
        <v>3500</v>
      </c>
      <c r="AC11" s="16">
        <f>'Business plan'!AC38</f>
        <v>3500</v>
      </c>
      <c r="AD11" s="16">
        <f>'Business plan'!AD38</f>
        <v>3500</v>
      </c>
      <c r="AE11" s="16">
        <f>'Business plan'!AE38</f>
        <v>3500</v>
      </c>
      <c r="AF11" s="16">
        <f>'Business plan'!AF38</f>
        <v>3500</v>
      </c>
      <c r="AG11" s="16">
        <f>'Business plan'!AG38</f>
        <v>3500</v>
      </c>
      <c r="AH11" s="16">
        <f>'Business plan'!AH38</f>
        <v>3500</v>
      </c>
      <c r="AI11" s="16">
        <f>'Business plan'!AI38</f>
        <v>3500</v>
      </c>
      <c r="AJ11" s="16">
        <f>'Business plan'!AJ38</f>
        <v>3500</v>
      </c>
      <c r="AK11" s="16">
        <f>'Business plan'!AK38</f>
        <v>3500</v>
      </c>
      <c r="AL11" s="16">
        <f>'Business plan'!AL38</f>
        <v>3500</v>
      </c>
      <c r="AM11" s="16">
        <f>'Business plan'!AM38</f>
        <v>3500</v>
      </c>
      <c r="AN11" s="16">
        <f>'Business plan'!AN38</f>
        <v>3500</v>
      </c>
      <c r="AO11" s="16">
        <f>'Business plan'!AO38</f>
        <v>3500</v>
      </c>
      <c r="AP11" s="16">
        <f>'Business plan'!AP38</f>
        <v>3500</v>
      </c>
      <c r="AQ11" s="16">
        <f>'Business plan'!AQ38</f>
        <v>3500</v>
      </c>
      <c r="AR11" s="16">
        <f>'Business plan'!AR38</f>
        <v>3500</v>
      </c>
      <c r="AS11" s="16">
        <f>'Business plan'!AS38</f>
        <v>3500</v>
      </c>
      <c r="AT11" s="16">
        <f>'Business plan'!AT38</f>
        <v>3500</v>
      </c>
      <c r="AU11" s="16">
        <f>'Business plan'!AU38</f>
        <v>3500</v>
      </c>
      <c r="AV11" s="16">
        <f>'Business plan'!AV38</f>
        <v>3500</v>
      </c>
      <c r="AW11" s="16">
        <f>'Business plan'!AW38</f>
        <v>3500</v>
      </c>
      <c r="AX11" s="16">
        <f>'Business plan'!AX38</f>
        <v>3500</v>
      </c>
      <c r="AY11" s="16">
        <f>'Business plan'!AY38</f>
        <v>3500</v>
      </c>
      <c r="AZ11" s="16">
        <f>'Business plan'!AZ38</f>
        <v>3500</v>
      </c>
      <c r="BA11" s="16">
        <f>'Business plan'!BA38</f>
        <v>3500</v>
      </c>
      <c r="BB11" s="16">
        <f>'Business plan'!BB38</f>
        <v>3500</v>
      </c>
      <c r="BC11" s="16">
        <f>'Business plan'!BC38</f>
        <v>3500</v>
      </c>
      <c r="BD11" s="16">
        <f>'Business plan'!BD38</f>
        <v>3500</v>
      </c>
      <c r="BE11" s="16">
        <f>'Business plan'!BE38</f>
        <v>3500</v>
      </c>
      <c r="BF11" s="16">
        <f>'Business plan'!BF38</f>
        <v>3500</v>
      </c>
      <c r="BG11" s="16">
        <f>'Business plan'!BG38</f>
        <v>3500</v>
      </c>
      <c r="BH11" s="16">
        <f>'Business plan'!BH38</f>
        <v>3500</v>
      </c>
      <c r="BI11" s="16">
        <f>'Business plan'!BI38</f>
        <v>3500</v>
      </c>
      <c r="BJ11" s="16">
        <f>'Business plan'!BJ38</f>
        <v>3500</v>
      </c>
    </row>
    <row r="12">
      <c r="A12" s="33" t="s">
        <v>54</v>
      </c>
      <c r="B12" s="35">
        <f>'Business plan'!B39</f>
        <v>33000</v>
      </c>
      <c r="C12" s="16">
        <f>'Business plan'!C39</f>
        <v>1000</v>
      </c>
      <c r="D12" s="16">
        <f>'Business plan'!D39</f>
        <v>1000</v>
      </c>
      <c r="E12" s="16">
        <f>'Business plan'!E39</f>
        <v>1000</v>
      </c>
      <c r="F12" s="16">
        <f>'Business plan'!F39</f>
        <v>1000</v>
      </c>
      <c r="G12" s="16">
        <f>'Business plan'!G39</f>
        <v>1000</v>
      </c>
      <c r="H12" s="16">
        <f>'Business plan'!H39</f>
        <v>1000</v>
      </c>
      <c r="I12" s="16">
        <f>'Business plan'!I39</f>
        <v>28000</v>
      </c>
      <c r="J12" s="16">
        <f>'Business plan'!J39</f>
        <v>1000</v>
      </c>
      <c r="K12" s="16">
        <f>'Business plan'!K39</f>
        <v>1000</v>
      </c>
      <c r="L12" s="16">
        <f>'Business plan'!L39</f>
        <v>1000</v>
      </c>
      <c r="M12" s="16">
        <f>'Business plan'!M39</f>
        <v>1000</v>
      </c>
      <c r="N12" s="16">
        <f>'Business plan'!N39</f>
        <v>1000</v>
      </c>
      <c r="O12" s="16">
        <f>'Business plan'!O39</f>
        <v>1000</v>
      </c>
      <c r="P12" s="16">
        <f>'Business plan'!P39</f>
        <v>1000</v>
      </c>
      <c r="Q12" s="16">
        <f>'Business plan'!Q39</f>
        <v>1000</v>
      </c>
      <c r="R12" s="16">
        <f>'Business plan'!R39</f>
        <v>1000</v>
      </c>
      <c r="S12" s="16">
        <f>'Business plan'!S39</f>
        <v>1000</v>
      </c>
      <c r="T12" s="16">
        <f>'Business plan'!T39</f>
        <v>1000</v>
      </c>
      <c r="U12" s="16">
        <f>'Business plan'!U39</f>
        <v>28000</v>
      </c>
      <c r="V12" s="16">
        <f>'Business plan'!V39</f>
        <v>1000</v>
      </c>
      <c r="W12" s="16">
        <f>'Business plan'!W39</f>
        <v>1000</v>
      </c>
      <c r="X12" s="16">
        <f>'Business plan'!X39</f>
        <v>1000</v>
      </c>
      <c r="Y12" s="16">
        <f>'Business plan'!Y39</f>
        <v>1000</v>
      </c>
      <c r="Z12" s="16">
        <f>'Business plan'!Z39</f>
        <v>1000</v>
      </c>
      <c r="AA12" s="16">
        <f>'Business plan'!AA39</f>
        <v>1000</v>
      </c>
      <c r="AB12" s="16">
        <f>'Business plan'!AB39</f>
        <v>1000</v>
      </c>
      <c r="AC12" s="16">
        <f>'Business plan'!AC39</f>
        <v>1000</v>
      </c>
      <c r="AD12" s="16">
        <f>'Business plan'!AD39</f>
        <v>1000</v>
      </c>
      <c r="AE12" s="16">
        <f>'Business plan'!AE39</f>
        <v>1000</v>
      </c>
      <c r="AF12" s="16">
        <f>'Business plan'!AF39</f>
        <v>1000</v>
      </c>
      <c r="AG12" s="16">
        <f>'Business plan'!AG39</f>
        <v>28000</v>
      </c>
      <c r="AH12" s="16">
        <f>'Business plan'!AH39</f>
        <v>1000</v>
      </c>
      <c r="AI12" s="16">
        <f>'Business plan'!AI39</f>
        <v>1000</v>
      </c>
      <c r="AJ12" s="16">
        <f>'Business plan'!AJ39</f>
        <v>1000</v>
      </c>
      <c r="AK12" s="16">
        <f>'Business plan'!AK39</f>
        <v>1000</v>
      </c>
      <c r="AL12" s="16">
        <f>'Business plan'!AL39</f>
        <v>1000</v>
      </c>
      <c r="AM12" s="16">
        <f>'Business plan'!AM39</f>
        <v>1000</v>
      </c>
      <c r="AN12" s="16">
        <f>'Business plan'!AN39</f>
        <v>1000</v>
      </c>
      <c r="AO12" s="16">
        <f>'Business plan'!AO39</f>
        <v>1000</v>
      </c>
      <c r="AP12" s="16">
        <f>'Business plan'!AP39</f>
        <v>1000</v>
      </c>
      <c r="AQ12" s="16">
        <f>'Business plan'!AQ39</f>
        <v>1000</v>
      </c>
      <c r="AR12" s="16">
        <f>'Business plan'!AR39</f>
        <v>1000</v>
      </c>
      <c r="AS12" s="16">
        <f>'Business plan'!AS39</f>
        <v>28000</v>
      </c>
      <c r="AT12" s="16">
        <f>'Business plan'!AT39</f>
        <v>1000</v>
      </c>
      <c r="AU12" s="16">
        <f>'Business plan'!AU39</f>
        <v>1000</v>
      </c>
      <c r="AV12" s="16">
        <f>'Business plan'!AV39</f>
        <v>1000</v>
      </c>
      <c r="AW12" s="16">
        <f>'Business plan'!AW39</f>
        <v>1000</v>
      </c>
      <c r="AX12" s="16">
        <f>'Business plan'!AX39</f>
        <v>1000</v>
      </c>
      <c r="AY12" s="16">
        <f>'Business plan'!AY39</f>
        <v>1000</v>
      </c>
      <c r="AZ12" s="16">
        <f>'Business plan'!AZ39</f>
        <v>1000</v>
      </c>
      <c r="BA12" s="16">
        <f>'Business plan'!BA39</f>
        <v>1000</v>
      </c>
      <c r="BB12" s="16">
        <f>'Business plan'!BB39</f>
        <v>1000</v>
      </c>
      <c r="BC12" s="16">
        <f>'Business plan'!BC39</f>
        <v>1000</v>
      </c>
      <c r="BD12" s="16">
        <f>'Business plan'!BD39</f>
        <v>1000</v>
      </c>
      <c r="BE12" s="16">
        <f>'Business plan'!BE39</f>
        <v>28000</v>
      </c>
      <c r="BF12" s="16">
        <f>'Business plan'!BF39</f>
        <v>1000</v>
      </c>
      <c r="BG12" s="16">
        <f>'Business plan'!BG39</f>
        <v>1000</v>
      </c>
      <c r="BH12" s="16">
        <f>'Business plan'!BH39</f>
        <v>1000</v>
      </c>
      <c r="BI12" s="16">
        <f>'Business plan'!BI39</f>
        <v>1000</v>
      </c>
      <c r="BJ12" s="16">
        <f>'Business plan'!BJ39</f>
        <v>1000</v>
      </c>
    </row>
    <row r="13">
      <c r="A13" s="26"/>
      <c r="B13" s="31"/>
    </row>
    <row r="14">
      <c r="A14" s="1" t="s">
        <v>55</v>
      </c>
      <c r="B14" s="31"/>
    </row>
    <row r="15">
      <c r="A15" s="26" t="s">
        <v>56</v>
      </c>
      <c r="B15" s="35">
        <f>B7</f>
        <v>302000</v>
      </c>
      <c r="C15" s="36">
        <f t="shared" ref="C15:BJ15" si="2">if(C$2&lt;=$B$25,C7,0)</f>
        <v>19000</v>
      </c>
      <c r="D15" s="16">
        <f t="shared" si="2"/>
        <v>19000</v>
      </c>
      <c r="E15" s="16">
        <f t="shared" si="2"/>
        <v>25000</v>
      </c>
      <c r="F15" s="16">
        <f t="shared" si="2"/>
        <v>37000</v>
      </c>
      <c r="G15" s="16">
        <f t="shared" si="2"/>
        <v>37000</v>
      </c>
      <c r="H15" s="34">
        <f t="shared" si="2"/>
        <v>0</v>
      </c>
      <c r="I15" s="34">
        <f t="shared" si="2"/>
        <v>0</v>
      </c>
      <c r="J15" s="34">
        <f t="shared" si="2"/>
        <v>0</v>
      </c>
      <c r="K15" s="34">
        <f t="shared" si="2"/>
        <v>0</v>
      </c>
      <c r="L15" s="34">
        <f t="shared" si="2"/>
        <v>0</v>
      </c>
      <c r="M15" s="34">
        <f t="shared" si="2"/>
        <v>0</v>
      </c>
      <c r="N15" s="34">
        <f t="shared" si="2"/>
        <v>0</v>
      </c>
      <c r="O15" s="34">
        <f t="shared" si="2"/>
        <v>0</v>
      </c>
      <c r="P15" s="34">
        <f t="shared" si="2"/>
        <v>0</v>
      </c>
      <c r="Q15" s="34">
        <f t="shared" si="2"/>
        <v>0</v>
      </c>
      <c r="R15" s="34">
        <f t="shared" si="2"/>
        <v>0</v>
      </c>
      <c r="S15" s="34">
        <f t="shared" si="2"/>
        <v>0</v>
      </c>
      <c r="T15" s="34">
        <f t="shared" si="2"/>
        <v>0</v>
      </c>
      <c r="U15" s="34">
        <f t="shared" si="2"/>
        <v>0</v>
      </c>
      <c r="V15" s="34">
        <f t="shared" si="2"/>
        <v>0</v>
      </c>
      <c r="W15" s="34">
        <f t="shared" si="2"/>
        <v>0</v>
      </c>
      <c r="X15" s="34">
        <f t="shared" si="2"/>
        <v>0</v>
      </c>
      <c r="Y15" s="34">
        <f t="shared" si="2"/>
        <v>0</v>
      </c>
      <c r="Z15" s="34">
        <f t="shared" si="2"/>
        <v>0</v>
      </c>
      <c r="AA15" s="34">
        <f t="shared" si="2"/>
        <v>0</v>
      </c>
      <c r="AB15" s="34">
        <f t="shared" si="2"/>
        <v>0</v>
      </c>
      <c r="AC15" s="34">
        <f t="shared" si="2"/>
        <v>0</v>
      </c>
      <c r="AD15" s="34">
        <f t="shared" si="2"/>
        <v>0</v>
      </c>
      <c r="AE15" s="34">
        <f t="shared" si="2"/>
        <v>0</v>
      </c>
      <c r="AF15" s="34">
        <f t="shared" si="2"/>
        <v>0</v>
      </c>
      <c r="AG15" s="34">
        <f t="shared" si="2"/>
        <v>0</v>
      </c>
      <c r="AH15" s="34">
        <f t="shared" si="2"/>
        <v>0</v>
      </c>
      <c r="AI15" s="34">
        <f t="shared" si="2"/>
        <v>0</v>
      </c>
      <c r="AJ15" s="34">
        <f t="shared" si="2"/>
        <v>0</v>
      </c>
      <c r="AK15" s="34">
        <f t="shared" si="2"/>
        <v>0</v>
      </c>
      <c r="AL15" s="34">
        <f t="shared" si="2"/>
        <v>0</v>
      </c>
      <c r="AM15" s="34">
        <f t="shared" si="2"/>
        <v>0</v>
      </c>
      <c r="AN15" s="34">
        <f t="shared" si="2"/>
        <v>0</v>
      </c>
      <c r="AO15" s="34">
        <f t="shared" si="2"/>
        <v>0</v>
      </c>
      <c r="AP15" s="34">
        <f t="shared" si="2"/>
        <v>0</v>
      </c>
      <c r="AQ15" s="34">
        <f t="shared" si="2"/>
        <v>0</v>
      </c>
      <c r="AR15" s="34">
        <f t="shared" si="2"/>
        <v>0</v>
      </c>
      <c r="AS15" s="34">
        <f t="shared" si="2"/>
        <v>0</v>
      </c>
      <c r="AT15" s="34">
        <f t="shared" si="2"/>
        <v>0</v>
      </c>
      <c r="AU15" s="34">
        <f t="shared" si="2"/>
        <v>0</v>
      </c>
      <c r="AV15" s="34">
        <f t="shared" si="2"/>
        <v>0</v>
      </c>
      <c r="AW15" s="34">
        <f t="shared" si="2"/>
        <v>0</v>
      </c>
      <c r="AX15" s="34">
        <f t="shared" si="2"/>
        <v>0</v>
      </c>
      <c r="AY15" s="34">
        <f t="shared" si="2"/>
        <v>0</v>
      </c>
      <c r="AZ15" s="34">
        <f t="shared" si="2"/>
        <v>0</v>
      </c>
      <c r="BA15" s="34">
        <f t="shared" si="2"/>
        <v>0</v>
      </c>
      <c r="BB15" s="34">
        <f t="shared" si="2"/>
        <v>0</v>
      </c>
      <c r="BC15" s="34">
        <f t="shared" si="2"/>
        <v>0</v>
      </c>
      <c r="BD15" s="34">
        <f t="shared" si="2"/>
        <v>0</v>
      </c>
      <c r="BE15" s="34">
        <f t="shared" si="2"/>
        <v>0</v>
      </c>
      <c r="BF15" s="34">
        <f t="shared" si="2"/>
        <v>0</v>
      </c>
      <c r="BG15" s="34">
        <f t="shared" si="2"/>
        <v>0</v>
      </c>
      <c r="BH15" s="34">
        <f t="shared" si="2"/>
        <v>0</v>
      </c>
      <c r="BI15" s="34">
        <f t="shared" si="2"/>
        <v>0</v>
      </c>
      <c r="BJ15" s="34">
        <f t="shared" si="2"/>
        <v>0</v>
      </c>
    </row>
    <row r="16">
      <c r="A16" s="26" t="s">
        <v>57</v>
      </c>
      <c r="B16" s="35">
        <f>B8+B6</f>
        <v>0</v>
      </c>
      <c r="C16" s="36">
        <f t="shared" ref="C16:BJ16" si="3">if(C$2&lt;=$B$25,C8+C6,0)</f>
        <v>19500</v>
      </c>
      <c r="D16" s="16">
        <f t="shared" si="3"/>
        <v>20750</v>
      </c>
      <c r="E16" s="16">
        <f t="shared" si="3"/>
        <v>22312.5</v>
      </c>
      <c r="F16" s="16">
        <f t="shared" si="3"/>
        <v>24265.625</v>
      </c>
      <c r="G16" s="16">
        <f t="shared" si="3"/>
        <v>26707.03125</v>
      </c>
      <c r="H16" s="34">
        <f t="shared" si="3"/>
        <v>0</v>
      </c>
      <c r="I16" s="34">
        <f t="shared" si="3"/>
        <v>0</v>
      </c>
      <c r="J16" s="34">
        <f t="shared" si="3"/>
        <v>0</v>
      </c>
      <c r="K16" s="34">
        <f t="shared" si="3"/>
        <v>0</v>
      </c>
      <c r="L16" s="34">
        <f t="shared" si="3"/>
        <v>0</v>
      </c>
      <c r="M16" s="34">
        <f t="shared" si="3"/>
        <v>0</v>
      </c>
      <c r="N16" s="34">
        <f t="shared" si="3"/>
        <v>0</v>
      </c>
      <c r="O16" s="34">
        <f t="shared" si="3"/>
        <v>0</v>
      </c>
      <c r="P16" s="34">
        <f t="shared" si="3"/>
        <v>0</v>
      </c>
      <c r="Q16" s="34">
        <f t="shared" si="3"/>
        <v>0</v>
      </c>
      <c r="R16" s="34">
        <f t="shared" si="3"/>
        <v>0</v>
      </c>
      <c r="S16" s="34">
        <f t="shared" si="3"/>
        <v>0</v>
      </c>
      <c r="T16" s="34">
        <f t="shared" si="3"/>
        <v>0</v>
      </c>
      <c r="U16" s="34">
        <f t="shared" si="3"/>
        <v>0</v>
      </c>
      <c r="V16" s="34">
        <f t="shared" si="3"/>
        <v>0</v>
      </c>
      <c r="W16" s="34">
        <f t="shared" si="3"/>
        <v>0</v>
      </c>
      <c r="X16" s="34">
        <f t="shared" si="3"/>
        <v>0</v>
      </c>
      <c r="Y16" s="34">
        <f t="shared" si="3"/>
        <v>0</v>
      </c>
      <c r="Z16" s="34">
        <f t="shared" si="3"/>
        <v>0</v>
      </c>
      <c r="AA16" s="34">
        <f t="shared" si="3"/>
        <v>0</v>
      </c>
      <c r="AB16" s="34">
        <f t="shared" si="3"/>
        <v>0</v>
      </c>
      <c r="AC16" s="34">
        <f t="shared" si="3"/>
        <v>0</v>
      </c>
      <c r="AD16" s="34">
        <f t="shared" si="3"/>
        <v>0</v>
      </c>
      <c r="AE16" s="34">
        <f t="shared" si="3"/>
        <v>0</v>
      </c>
      <c r="AF16" s="34">
        <f t="shared" si="3"/>
        <v>0</v>
      </c>
      <c r="AG16" s="34">
        <f t="shared" si="3"/>
        <v>0</v>
      </c>
      <c r="AH16" s="34">
        <f t="shared" si="3"/>
        <v>0</v>
      </c>
      <c r="AI16" s="34">
        <f t="shared" si="3"/>
        <v>0</v>
      </c>
      <c r="AJ16" s="34">
        <f t="shared" si="3"/>
        <v>0</v>
      </c>
      <c r="AK16" s="34">
        <f t="shared" si="3"/>
        <v>0</v>
      </c>
      <c r="AL16" s="34">
        <f t="shared" si="3"/>
        <v>0</v>
      </c>
      <c r="AM16" s="34">
        <f t="shared" si="3"/>
        <v>0</v>
      </c>
      <c r="AN16" s="34">
        <f t="shared" si="3"/>
        <v>0</v>
      </c>
      <c r="AO16" s="34">
        <f t="shared" si="3"/>
        <v>0</v>
      </c>
      <c r="AP16" s="34">
        <f t="shared" si="3"/>
        <v>0</v>
      </c>
      <c r="AQ16" s="34">
        <f t="shared" si="3"/>
        <v>0</v>
      </c>
      <c r="AR16" s="34">
        <f t="shared" si="3"/>
        <v>0</v>
      </c>
      <c r="AS16" s="34">
        <f t="shared" si="3"/>
        <v>0</v>
      </c>
      <c r="AT16" s="34">
        <f t="shared" si="3"/>
        <v>0</v>
      </c>
      <c r="AU16" s="34">
        <f t="shared" si="3"/>
        <v>0</v>
      </c>
      <c r="AV16" s="34">
        <f t="shared" si="3"/>
        <v>0</v>
      </c>
      <c r="AW16" s="34">
        <f t="shared" si="3"/>
        <v>0</v>
      </c>
      <c r="AX16" s="34">
        <f t="shared" si="3"/>
        <v>0</v>
      </c>
      <c r="AY16" s="34">
        <f t="shared" si="3"/>
        <v>0</v>
      </c>
      <c r="AZ16" s="34">
        <f t="shared" si="3"/>
        <v>0</v>
      </c>
      <c r="BA16" s="34">
        <f t="shared" si="3"/>
        <v>0</v>
      </c>
      <c r="BB16" s="34">
        <f t="shared" si="3"/>
        <v>0</v>
      </c>
      <c r="BC16" s="34">
        <f t="shared" si="3"/>
        <v>0</v>
      </c>
      <c r="BD16" s="34">
        <f t="shared" si="3"/>
        <v>0</v>
      </c>
      <c r="BE16" s="34">
        <f t="shared" si="3"/>
        <v>0</v>
      </c>
      <c r="BF16" s="34">
        <f t="shared" si="3"/>
        <v>0</v>
      </c>
      <c r="BG16" s="34">
        <f t="shared" si="3"/>
        <v>0</v>
      </c>
      <c r="BH16" s="34">
        <f t="shared" si="3"/>
        <v>0</v>
      </c>
      <c r="BI16" s="34">
        <f t="shared" si="3"/>
        <v>0</v>
      </c>
      <c r="BJ16" s="34">
        <f t="shared" si="3"/>
        <v>0</v>
      </c>
    </row>
    <row r="17">
      <c r="A17" s="26" t="s">
        <v>58</v>
      </c>
      <c r="B17" s="35">
        <f>sum(B9:B12)-B6</f>
        <v>81000</v>
      </c>
      <c r="C17" s="36">
        <f t="shared" ref="C17:BJ17" si="4">if(C$2&lt;=$B$25,sum(C9:C12)-C6,0)</f>
        <v>18427.08333</v>
      </c>
      <c r="D17" s="16">
        <f t="shared" si="4"/>
        <v>24129.69884</v>
      </c>
      <c r="E17" s="16">
        <f t="shared" si="4"/>
        <v>30141.91017</v>
      </c>
      <c r="F17" s="16">
        <f t="shared" si="4"/>
        <v>38889.1194</v>
      </c>
      <c r="G17" s="16">
        <f t="shared" si="4"/>
        <v>47934.39164</v>
      </c>
      <c r="H17" s="34">
        <f t="shared" si="4"/>
        <v>0</v>
      </c>
      <c r="I17" s="34">
        <f t="shared" si="4"/>
        <v>0</v>
      </c>
      <c r="J17" s="34">
        <f t="shared" si="4"/>
        <v>0</v>
      </c>
      <c r="K17" s="34">
        <f t="shared" si="4"/>
        <v>0</v>
      </c>
      <c r="L17" s="34">
        <f t="shared" si="4"/>
        <v>0</v>
      </c>
      <c r="M17" s="34">
        <f t="shared" si="4"/>
        <v>0</v>
      </c>
      <c r="N17" s="34">
        <f t="shared" si="4"/>
        <v>0</v>
      </c>
      <c r="O17" s="34">
        <f t="shared" si="4"/>
        <v>0</v>
      </c>
      <c r="P17" s="34">
        <f t="shared" si="4"/>
        <v>0</v>
      </c>
      <c r="Q17" s="34">
        <f t="shared" si="4"/>
        <v>0</v>
      </c>
      <c r="R17" s="34">
        <f t="shared" si="4"/>
        <v>0</v>
      </c>
      <c r="S17" s="34">
        <f t="shared" si="4"/>
        <v>0</v>
      </c>
      <c r="T17" s="34">
        <f t="shared" si="4"/>
        <v>0</v>
      </c>
      <c r="U17" s="34">
        <f t="shared" si="4"/>
        <v>0</v>
      </c>
      <c r="V17" s="34">
        <f t="shared" si="4"/>
        <v>0</v>
      </c>
      <c r="W17" s="34">
        <f t="shared" si="4"/>
        <v>0</v>
      </c>
      <c r="X17" s="34">
        <f t="shared" si="4"/>
        <v>0</v>
      </c>
      <c r="Y17" s="34">
        <f t="shared" si="4"/>
        <v>0</v>
      </c>
      <c r="Z17" s="34">
        <f t="shared" si="4"/>
        <v>0</v>
      </c>
      <c r="AA17" s="34">
        <f t="shared" si="4"/>
        <v>0</v>
      </c>
      <c r="AB17" s="34">
        <f t="shared" si="4"/>
        <v>0</v>
      </c>
      <c r="AC17" s="34">
        <f t="shared" si="4"/>
        <v>0</v>
      </c>
      <c r="AD17" s="34">
        <f t="shared" si="4"/>
        <v>0</v>
      </c>
      <c r="AE17" s="34">
        <f t="shared" si="4"/>
        <v>0</v>
      </c>
      <c r="AF17" s="34">
        <f t="shared" si="4"/>
        <v>0</v>
      </c>
      <c r="AG17" s="34">
        <f t="shared" si="4"/>
        <v>0</v>
      </c>
      <c r="AH17" s="34">
        <f t="shared" si="4"/>
        <v>0</v>
      </c>
      <c r="AI17" s="34">
        <f t="shared" si="4"/>
        <v>0</v>
      </c>
      <c r="AJ17" s="34">
        <f t="shared" si="4"/>
        <v>0</v>
      </c>
      <c r="AK17" s="34">
        <f t="shared" si="4"/>
        <v>0</v>
      </c>
      <c r="AL17" s="34">
        <f t="shared" si="4"/>
        <v>0</v>
      </c>
      <c r="AM17" s="34">
        <f t="shared" si="4"/>
        <v>0</v>
      </c>
      <c r="AN17" s="34">
        <f t="shared" si="4"/>
        <v>0</v>
      </c>
      <c r="AO17" s="34">
        <f t="shared" si="4"/>
        <v>0</v>
      </c>
      <c r="AP17" s="34">
        <f t="shared" si="4"/>
        <v>0</v>
      </c>
      <c r="AQ17" s="34">
        <f t="shared" si="4"/>
        <v>0</v>
      </c>
      <c r="AR17" s="34">
        <f t="shared" si="4"/>
        <v>0</v>
      </c>
      <c r="AS17" s="34">
        <f t="shared" si="4"/>
        <v>0</v>
      </c>
      <c r="AT17" s="34">
        <f t="shared" si="4"/>
        <v>0</v>
      </c>
      <c r="AU17" s="34">
        <f t="shared" si="4"/>
        <v>0</v>
      </c>
      <c r="AV17" s="34">
        <f t="shared" si="4"/>
        <v>0</v>
      </c>
      <c r="AW17" s="34">
        <f t="shared" si="4"/>
        <v>0</v>
      </c>
      <c r="AX17" s="34">
        <f t="shared" si="4"/>
        <v>0</v>
      </c>
      <c r="AY17" s="34">
        <f t="shared" si="4"/>
        <v>0</v>
      </c>
      <c r="AZ17" s="34">
        <f t="shared" si="4"/>
        <v>0</v>
      </c>
      <c r="BA17" s="34">
        <f t="shared" si="4"/>
        <v>0</v>
      </c>
      <c r="BB17" s="34">
        <f t="shared" si="4"/>
        <v>0</v>
      </c>
      <c r="BC17" s="34">
        <f t="shared" si="4"/>
        <v>0</v>
      </c>
      <c r="BD17" s="34">
        <f t="shared" si="4"/>
        <v>0</v>
      </c>
      <c r="BE17" s="34">
        <f t="shared" si="4"/>
        <v>0</v>
      </c>
      <c r="BF17" s="34">
        <f t="shared" si="4"/>
        <v>0</v>
      </c>
      <c r="BG17" s="34">
        <f t="shared" si="4"/>
        <v>0</v>
      </c>
      <c r="BH17" s="34">
        <f t="shared" si="4"/>
        <v>0</v>
      </c>
      <c r="BI17" s="34">
        <f t="shared" si="4"/>
        <v>0</v>
      </c>
      <c r="BJ17" s="34">
        <f t="shared" si="4"/>
        <v>0</v>
      </c>
    </row>
    <row r="18">
      <c r="A18" s="26"/>
      <c r="B18" s="31"/>
    </row>
    <row r="19">
      <c r="A19" s="13" t="s">
        <v>59</v>
      </c>
      <c r="B19" s="35">
        <f>'Business plan'!B46</f>
        <v>-383000</v>
      </c>
      <c r="C19" s="16">
        <f>'Business plan'!C46</f>
        <v>-419491.6667</v>
      </c>
      <c r="D19" s="16">
        <f>'Business plan'!D46</f>
        <v>-411541.3441</v>
      </c>
      <c r="E19" s="16">
        <f>'Business plan'!E46</f>
        <v>-358621.4441</v>
      </c>
      <c r="F19" s="16">
        <f>'Business plan'!F46</f>
        <v>-221153.4618</v>
      </c>
      <c r="G19" s="16">
        <f>'Business plan'!G46</f>
        <v>19753.0327</v>
      </c>
      <c r="H19" s="16">
        <f>'Business plan'!H46</f>
        <v>372760.3504</v>
      </c>
      <c r="I19" s="16">
        <f>'Business plan'!I46</f>
        <v>810402.1598</v>
      </c>
      <c r="J19" s="16">
        <f>'Business plan'!J46</f>
        <v>1416661.028</v>
      </c>
      <c r="K19" s="16">
        <f>'Business plan'!K46</f>
        <v>2181367.461</v>
      </c>
      <c r="L19" s="16">
        <f>'Business plan'!L46</f>
        <v>3145141.02</v>
      </c>
      <c r="M19" s="16">
        <f>'Business plan'!M46</f>
        <v>4331019.568</v>
      </c>
      <c r="N19" s="16">
        <f>'Business plan'!N46</f>
        <v>5775605.829</v>
      </c>
      <c r="O19" s="16">
        <f>'Business plan'!O46</f>
        <v>7451500.476</v>
      </c>
      <c r="P19" s="16">
        <f>'Business plan'!P46</f>
        <v>9502872.062</v>
      </c>
      <c r="Q19" s="16">
        <f>'Business plan'!Q46</f>
        <v>11991114.53</v>
      </c>
      <c r="R19" s="16">
        <f>'Business plan'!R46</f>
        <v>15088419.53</v>
      </c>
      <c r="S19" s="16">
        <f>'Business plan'!S46</f>
        <v>18888795.92</v>
      </c>
      <c r="T19" s="16">
        <f>'Business plan'!T46</f>
        <v>23508879.83</v>
      </c>
      <c r="U19" s="16">
        <f>'Business plan'!U46</f>
        <v>29059736.24</v>
      </c>
      <c r="V19" s="16">
        <f>'Business plan'!V46</f>
        <v>35774593.1</v>
      </c>
      <c r="W19" s="16">
        <f>'Business plan'!W46</f>
        <v>43848458.42</v>
      </c>
      <c r="X19" s="16">
        <f>'Business plan'!X46</f>
        <v>53608639.79</v>
      </c>
      <c r="Y19" s="16">
        <f>'Business plan'!Y46</f>
        <v>65395326.81</v>
      </c>
      <c r="Z19" s="16">
        <f>'Business plan'!Z46</f>
        <v>79629595.97</v>
      </c>
      <c r="AA19" s="16">
        <f>'Business plan'!AA46</f>
        <v>96673016.3</v>
      </c>
      <c r="AB19" s="16">
        <f>'Business plan'!AB46</f>
        <v>116749550</v>
      </c>
      <c r="AC19" s="16">
        <f>'Business plan'!AC46</f>
        <v>139822219.9</v>
      </c>
      <c r="AD19" s="16">
        <f>'Business plan'!AD46</f>
        <v>165998436</v>
      </c>
      <c r="AE19" s="16">
        <f>'Business plan'!AE46</f>
        <v>195241271.6</v>
      </c>
      <c r="AF19" s="16">
        <f>'Business plan'!AF46</f>
        <v>227514183.2</v>
      </c>
      <c r="AG19" s="16">
        <f>'Business plan'!AG46</f>
        <v>262754006.4</v>
      </c>
      <c r="AH19" s="16">
        <f>'Business plan'!AH46</f>
        <v>300978952.2</v>
      </c>
      <c r="AI19" s="16">
        <f>'Business plan'!AI46</f>
        <v>342126603.1</v>
      </c>
      <c r="AJ19" s="16">
        <f>'Business plan'!AJ46</f>
        <v>386240509.4</v>
      </c>
      <c r="AK19" s="16">
        <f>'Business plan'!AK46</f>
        <v>433285789.2</v>
      </c>
      <c r="AL19" s="16">
        <f>'Business plan'!AL46</f>
        <v>483227921.1</v>
      </c>
      <c r="AM19" s="16">
        <f>'Business plan'!AM46</f>
        <v>536032741.5</v>
      </c>
      <c r="AN19" s="16">
        <f>'Business plan'!AN46</f>
        <v>591666440</v>
      </c>
      <c r="AO19" s="16">
        <f>'Business plan'!AO46</f>
        <v>650095556.7</v>
      </c>
      <c r="AP19" s="16">
        <f>'Business plan'!AP46</f>
        <v>711286977.8</v>
      </c>
      <c r="AQ19" s="16">
        <f>'Business plan'!AQ46</f>
        <v>775207933</v>
      </c>
      <c r="AR19" s="16">
        <f>'Business plan'!AR46</f>
        <v>841825991.4</v>
      </c>
      <c r="AS19" s="16">
        <f>'Business plan'!AS46</f>
        <v>911082058.3</v>
      </c>
      <c r="AT19" s="16">
        <f>'Business plan'!AT46</f>
        <v>982998371.7</v>
      </c>
      <c r="AU19" s="16">
        <f>'Business plan'!AU46</f>
        <v>1057516499</v>
      </c>
      <c r="AV19" s="16">
        <f>'Business plan'!AV46</f>
        <v>1134605334</v>
      </c>
      <c r="AW19" s="16">
        <f>'Business plan'!AW46</f>
        <v>1214234094</v>
      </c>
      <c r="AX19" s="16">
        <f>'Business plan'!AX46</f>
        <v>1296372313</v>
      </c>
      <c r="AY19" s="16">
        <f>'Business plan'!AY46</f>
        <v>1380989845</v>
      </c>
      <c r="AZ19" s="16">
        <f>'Business plan'!AZ46</f>
        <v>1468056855</v>
      </c>
      <c r="BA19" s="16">
        <f>'Business plan'!BA46</f>
        <v>1557543818</v>
      </c>
      <c r="BB19" s="16">
        <f>'Business plan'!BB46</f>
        <v>1649421516</v>
      </c>
      <c r="BC19" s="16">
        <f>'Business plan'!BC46</f>
        <v>1743661036</v>
      </c>
      <c r="BD19" s="16">
        <f>'Business plan'!BD46</f>
        <v>1840233763</v>
      </c>
      <c r="BE19" s="16">
        <f>'Business plan'!BE46</f>
        <v>1939084383</v>
      </c>
      <c r="BF19" s="16">
        <f>'Business plan'!BF46</f>
        <v>2040238874</v>
      </c>
      <c r="BG19" s="16">
        <f>'Business plan'!BG46</f>
        <v>2143642507</v>
      </c>
      <c r="BH19" s="16">
        <f>'Business plan'!BH46</f>
        <v>2249267841</v>
      </c>
      <c r="BI19" s="16">
        <f>'Business plan'!BI46</f>
        <v>2357087721</v>
      </c>
      <c r="BJ19" s="16">
        <f>'Business plan'!BJ46</f>
        <v>2467075275</v>
      </c>
    </row>
    <row r="20">
      <c r="A20" s="2"/>
      <c r="B20" s="31"/>
    </row>
    <row r="21">
      <c r="A21" s="26" t="s">
        <v>40</v>
      </c>
      <c r="B21" s="35">
        <f>-min(B19:BJ19)</f>
        <v>419491.6667</v>
      </c>
    </row>
    <row r="22">
      <c r="A22" s="26" t="s">
        <v>60</v>
      </c>
      <c r="B22" s="37">
        <v>0.15</v>
      </c>
    </row>
    <row r="23">
      <c r="A23" s="26" t="s">
        <v>61</v>
      </c>
      <c r="B23" s="35">
        <f>B21*(1+B22)</f>
        <v>482415.4167</v>
      </c>
    </row>
    <row r="24">
      <c r="A24" s="26"/>
      <c r="B24" s="31"/>
    </row>
    <row r="25">
      <c r="A25" s="26" t="s">
        <v>62</v>
      </c>
      <c r="B25" s="31">
        <f t="array" ref="B25">INDEX('Business plan'!C2:BJ2, MATCH(TRUE, INDEX('Business plan'!C46:BJ46 &gt; 0, 0), 0))</f>
        <v>5</v>
      </c>
    </row>
    <row r="26">
      <c r="A26" s="26"/>
      <c r="B26" s="31"/>
    </row>
    <row r="27">
      <c r="A27" s="26"/>
      <c r="B27" s="38" t="s">
        <v>63</v>
      </c>
      <c r="C27" s="39" t="s">
        <v>64</v>
      </c>
      <c r="D27" s="39" t="s">
        <v>65</v>
      </c>
    </row>
    <row r="28">
      <c r="A28" s="26" t="s">
        <v>56</v>
      </c>
      <c r="B28" s="35">
        <f t="shared" ref="B28:B30" si="5">sum(B15:BJ15)</f>
        <v>439000</v>
      </c>
      <c r="C28" s="21">
        <f t="shared" ref="C28:C30" si="6">B28/$B$31</f>
        <v>0.5535539071</v>
      </c>
      <c r="D28" s="16">
        <f t="shared" ref="D28:D30" si="7">$B$23*C28</f>
        <v>267042.9388</v>
      </c>
    </row>
    <row r="29">
      <c r="A29" s="26" t="s">
        <v>57</v>
      </c>
      <c r="B29" s="35">
        <f t="shared" si="5"/>
        <v>113535.1563</v>
      </c>
      <c r="C29" s="21">
        <f t="shared" si="6"/>
        <v>0.1431613425</v>
      </c>
      <c r="D29" s="16">
        <f t="shared" si="7"/>
        <v>69063.23867</v>
      </c>
    </row>
    <row r="30">
      <c r="A30" s="26" t="s">
        <v>58</v>
      </c>
      <c r="B30" s="35">
        <f t="shared" si="5"/>
        <v>240522.2034</v>
      </c>
      <c r="C30" s="21">
        <f t="shared" si="6"/>
        <v>0.3032847504</v>
      </c>
      <c r="D30" s="16">
        <f t="shared" si="7"/>
        <v>146309.2392</v>
      </c>
    </row>
    <row r="31">
      <c r="A31" s="26" t="s">
        <v>63</v>
      </c>
      <c r="B31" s="35">
        <f>sum(B28:B30)</f>
        <v>793057.3596</v>
      </c>
    </row>
  </sheetData>
  <mergeCells count="6">
    <mergeCell ref="B1:B2"/>
    <mergeCell ref="C1:N1"/>
    <mergeCell ref="O1:Z1"/>
    <mergeCell ref="AA1:AL1"/>
    <mergeCell ref="AM1:AX1"/>
    <mergeCell ref="AY1:B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63"/>
  </cols>
  <sheetData>
    <row r="1">
      <c r="A1" s="40" t="s">
        <v>45</v>
      </c>
      <c r="B1" s="27" t="s">
        <v>24</v>
      </c>
      <c r="C1" s="28">
        <v>1.0</v>
      </c>
      <c r="O1" s="28">
        <f>C1+1</f>
        <v>2</v>
      </c>
      <c r="AA1" s="28">
        <f>O1+1</f>
        <v>3</v>
      </c>
      <c r="AM1" s="28">
        <f>AA1+1</f>
        <v>4</v>
      </c>
      <c r="AY1" s="28">
        <f>AM1+1</f>
        <v>5</v>
      </c>
    </row>
    <row r="2">
      <c r="A2" s="40" t="s">
        <v>46</v>
      </c>
      <c r="B2" s="29"/>
      <c r="C2" s="28">
        <v>1.0</v>
      </c>
      <c r="D2" s="30">
        <f t="shared" ref="D2:BJ2" si="1">C2+1</f>
        <v>2</v>
      </c>
      <c r="E2" s="30">
        <f t="shared" si="1"/>
        <v>3</v>
      </c>
      <c r="F2" s="30">
        <f t="shared" si="1"/>
        <v>4</v>
      </c>
      <c r="G2" s="30">
        <f t="shared" si="1"/>
        <v>5</v>
      </c>
      <c r="H2" s="30">
        <f t="shared" si="1"/>
        <v>6</v>
      </c>
      <c r="I2" s="30">
        <f t="shared" si="1"/>
        <v>7</v>
      </c>
      <c r="J2" s="30">
        <f t="shared" si="1"/>
        <v>8</v>
      </c>
      <c r="K2" s="30">
        <f t="shared" si="1"/>
        <v>9</v>
      </c>
      <c r="L2" s="30">
        <f t="shared" si="1"/>
        <v>10</v>
      </c>
      <c r="M2" s="30">
        <f t="shared" si="1"/>
        <v>11</v>
      </c>
      <c r="N2" s="30">
        <f t="shared" si="1"/>
        <v>12</v>
      </c>
      <c r="O2" s="30">
        <f t="shared" si="1"/>
        <v>13</v>
      </c>
      <c r="P2" s="30">
        <f t="shared" si="1"/>
        <v>14</v>
      </c>
      <c r="Q2" s="30">
        <f t="shared" si="1"/>
        <v>15</v>
      </c>
      <c r="R2" s="30">
        <f t="shared" si="1"/>
        <v>16</v>
      </c>
      <c r="S2" s="30">
        <f t="shared" si="1"/>
        <v>17</v>
      </c>
      <c r="T2" s="30">
        <f t="shared" si="1"/>
        <v>18</v>
      </c>
      <c r="U2" s="30">
        <f t="shared" si="1"/>
        <v>19</v>
      </c>
      <c r="V2" s="30">
        <f t="shared" si="1"/>
        <v>20</v>
      </c>
      <c r="W2" s="30">
        <f t="shared" si="1"/>
        <v>21</v>
      </c>
      <c r="X2" s="30">
        <f t="shared" si="1"/>
        <v>22</v>
      </c>
      <c r="Y2" s="30">
        <f t="shared" si="1"/>
        <v>23</v>
      </c>
      <c r="Z2" s="30">
        <f t="shared" si="1"/>
        <v>24</v>
      </c>
      <c r="AA2" s="30">
        <f t="shared" si="1"/>
        <v>25</v>
      </c>
      <c r="AB2" s="30">
        <f t="shared" si="1"/>
        <v>26</v>
      </c>
      <c r="AC2" s="30">
        <f t="shared" si="1"/>
        <v>27</v>
      </c>
      <c r="AD2" s="30">
        <f t="shared" si="1"/>
        <v>28</v>
      </c>
      <c r="AE2" s="30">
        <f t="shared" si="1"/>
        <v>29</v>
      </c>
      <c r="AF2" s="30">
        <f t="shared" si="1"/>
        <v>30</v>
      </c>
      <c r="AG2" s="30">
        <f t="shared" si="1"/>
        <v>31</v>
      </c>
      <c r="AH2" s="30">
        <f t="shared" si="1"/>
        <v>32</v>
      </c>
      <c r="AI2" s="30">
        <f t="shared" si="1"/>
        <v>33</v>
      </c>
      <c r="AJ2" s="30">
        <f t="shared" si="1"/>
        <v>34</v>
      </c>
      <c r="AK2" s="30">
        <f t="shared" si="1"/>
        <v>35</v>
      </c>
      <c r="AL2" s="30">
        <f t="shared" si="1"/>
        <v>36</v>
      </c>
      <c r="AM2" s="30">
        <f t="shared" si="1"/>
        <v>37</v>
      </c>
      <c r="AN2" s="30">
        <f t="shared" si="1"/>
        <v>38</v>
      </c>
      <c r="AO2" s="30">
        <f t="shared" si="1"/>
        <v>39</v>
      </c>
      <c r="AP2" s="30">
        <f t="shared" si="1"/>
        <v>40</v>
      </c>
      <c r="AQ2" s="30">
        <f t="shared" si="1"/>
        <v>41</v>
      </c>
      <c r="AR2" s="30">
        <f t="shared" si="1"/>
        <v>42</v>
      </c>
      <c r="AS2" s="30">
        <f t="shared" si="1"/>
        <v>43</v>
      </c>
      <c r="AT2" s="30">
        <f t="shared" si="1"/>
        <v>44</v>
      </c>
      <c r="AU2" s="30">
        <f t="shared" si="1"/>
        <v>45</v>
      </c>
      <c r="AV2" s="30">
        <f t="shared" si="1"/>
        <v>46</v>
      </c>
      <c r="AW2" s="30">
        <f t="shared" si="1"/>
        <v>47</v>
      </c>
      <c r="AX2" s="30">
        <f t="shared" si="1"/>
        <v>48</v>
      </c>
      <c r="AY2" s="30">
        <f t="shared" si="1"/>
        <v>49</v>
      </c>
      <c r="AZ2" s="30">
        <f t="shared" si="1"/>
        <v>50</v>
      </c>
      <c r="BA2" s="30">
        <f t="shared" si="1"/>
        <v>51</v>
      </c>
      <c r="BB2" s="30">
        <f t="shared" si="1"/>
        <v>52</v>
      </c>
      <c r="BC2" s="30">
        <f t="shared" si="1"/>
        <v>53</v>
      </c>
      <c r="BD2" s="30">
        <f t="shared" si="1"/>
        <v>54</v>
      </c>
      <c r="BE2" s="30">
        <f t="shared" si="1"/>
        <v>55</v>
      </c>
      <c r="BF2" s="30">
        <f t="shared" si="1"/>
        <v>56</v>
      </c>
      <c r="BG2" s="30">
        <f t="shared" si="1"/>
        <v>57</v>
      </c>
      <c r="BH2" s="30">
        <f t="shared" si="1"/>
        <v>58</v>
      </c>
      <c r="BI2" s="30">
        <f t="shared" si="1"/>
        <v>59</v>
      </c>
      <c r="BJ2" s="30">
        <f t="shared" si="1"/>
        <v>60</v>
      </c>
    </row>
    <row r="3">
      <c r="A3" s="1" t="s">
        <v>31</v>
      </c>
      <c r="B3" s="31"/>
    </row>
    <row r="4">
      <c r="A4" s="41" t="s">
        <v>66</v>
      </c>
      <c r="B4" s="42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</row>
    <row r="5">
      <c r="A5" s="44" t="s">
        <v>67</v>
      </c>
      <c r="B5" s="42"/>
      <c r="C5" s="43">
        <f>if('BP input data'!$B$8&gt;C2,1,0)+Summary!$B$3</f>
        <v>3</v>
      </c>
      <c r="D5" s="43">
        <f>if('BP input data'!$B$8&gt;D2,1,0)+Summary!$B$3</f>
        <v>3</v>
      </c>
      <c r="E5" s="43">
        <f>if('BP input data'!$B$8&gt;E2,1,0)+Summary!$B$3</f>
        <v>3</v>
      </c>
      <c r="F5" s="43">
        <f>if('BP input data'!$B$8&gt;F2,1,0)+Summary!$B$3</f>
        <v>3</v>
      </c>
      <c r="G5" s="43">
        <f>if('BP input data'!$B$8&gt;G2,1,0)+Summary!$B$3</f>
        <v>3</v>
      </c>
      <c r="H5" s="43">
        <f>if('BP input data'!$B$8&gt;H2,1,0)+Summary!$B$3</f>
        <v>3</v>
      </c>
      <c r="I5" s="43">
        <f>if('BP input data'!$B$8&gt;I2,1,0)+Summary!$B$3</f>
        <v>3</v>
      </c>
      <c r="J5" s="43">
        <f>if('BP input data'!$B$8&gt;J2,1,0)+Summary!$B$3</f>
        <v>3</v>
      </c>
      <c r="K5" s="43">
        <f>if('BP input data'!$B$8&gt;K2,1,0)+Summary!$B$3</f>
        <v>3</v>
      </c>
      <c r="L5" s="43">
        <f>if('BP input data'!$B$8&gt;L2,1,0)+Summary!$B$3</f>
        <v>2</v>
      </c>
      <c r="M5" s="43">
        <f>if('BP input data'!$B$8&gt;M2,1,0)+Summary!$B$3</f>
        <v>2</v>
      </c>
      <c r="N5" s="43">
        <f>if('BP input data'!$B$8&gt;N2,1,0)+Summary!$B$3</f>
        <v>2</v>
      </c>
      <c r="O5" s="43">
        <f>if('BP input data'!$B$8&gt;O2,1,0)+Summary!$B$3+Summary!$B$4</f>
        <v>10</v>
      </c>
      <c r="P5" s="43">
        <f>if('BP input data'!$B$8&gt;P2,1,0)+Summary!$B$3+Summary!$B$4</f>
        <v>10</v>
      </c>
      <c r="Q5" s="43">
        <f>if('BP input data'!$B$8&gt;Q2,1,0)+Summary!$B$3+Summary!$B$4</f>
        <v>10</v>
      </c>
      <c r="R5" s="43">
        <f>if('BP input data'!$B$8&gt;R2,1,0)+Summary!$B$3+Summary!$B$4</f>
        <v>10</v>
      </c>
      <c r="S5" s="43">
        <f>if('BP input data'!$B$8&gt;S2,1,0)+Summary!$B$3+Summary!$B$4</f>
        <v>10</v>
      </c>
      <c r="T5" s="43">
        <f>if('BP input data'!$B$8&gt;T2,1,0)+Summary!$B$3+Summary!$B$4</f>
        <v>10</v>
      </c>
      <c r="U5" s="43">
        <f>if('BP input data'!$B$8&gt;U2,1,0)+Summary!$B$3+Summary!$B$4</f>
        <v>10</v>
      </c>
      <c r="V5" s="43">
        <f>if('BP input data'!$B$8&gt;V2,1,0)+Summary!$B$3+Summary!$B$4</f>
        <v>10</v>
      </c>
      <c r="W5" s="43">
        <f>if('BP input data'!$B$8&gt;W2,1,0)+Summary!$B$3+Summary!$B$4</f>
        <v>10</v>
      </c>
      <c r="X5" s="43">
        <f>if('BP input data'!$B$8&gt;X2,1,0)+Summary!$B$3+Summary!$B$4</f>
        <v>10</v>
      </c>
      <c r="Y5" s="43">
        <f>if('BP input data'!$B$8&gt;Y2,1,0)+Summary!$B$3+Summary!$B$4</f>
        <v>10</v>
      </c>
      <c r="Z5" s="43">
        <f>if('BP input data'!$B$8&gt;Z2,1,0)+Summary!$B$3+Summary!$B$4</f>
        <v>10</v>
      </c>
      <c r="AA5" s="43">
        <f>if('BP input data'!$B$8&gt;AA2,1,0)+Summary!$B$3+Summary!$B$4+Summary!$B$5</f>
        <v>22</v>
      </c>
      <c r="AB5" s="43">
        <f>if('BP input data'!$B$8&gt;AB2,1,0)+Summary!$B$3+Summary!$B$4+Summary!$B$5</f>
        <v>22</v>
      </c>
      <c r="AC5" s="43">
        <f>if('BP input data'!$B$8&gt;AC2,1,0)+Summary!$B$3+Summary!$B$4+Summary!$B$5</f>
        <v>22</v>
      </c>
      <c r="AD5" s="43">
        <f>if('BP input data'!$B$8&gt;AD2,1,0)+Summary!$B$3+Summary!$B$4+Summary!$B$5</f>
        <v>22</v>
      </c>
      <c r="AE5" s="43">
        <f>if('BP input data'!$B$8&gt;AE2,1,0)+Summary!$B$3+Summary!$B$4+Summary!$B$5</f>
        <v>22</v>
      </c>
      <c r="AF5" s="43">
        <f>if('BP input data'!$B$8&gt;AF2,1,0)+Summary!$B$3+Summary!$B$4+Summary!$B$5</f>
        <v>22</v>
      </c>
      <c r="AG5" s="43">
        <f>if('BP input data'!$B$8&gt;AG2,1,0)+Summary!$B$3+Summary!$B$4+Summary!$B$5</f>
        <v>22</v>
      </c>
      <c r="AH5" s="43">
        <f>if('BP input data'!$B$8&gt;AH2,1,0)+Summary!$B$3+Summary!$B$4+Summary!$B$5</f>
        <v>22</v>
      </c>
      <c r="AI5" s="43">
        <f>if('BP input data'!$B$8&gt;AI2,1,0)+Summary!$B$3+Summary!$B$4+Summary!$B$5</f>
        <v>22</v>
      </c>
      <c r="AJ5" s="43">
        <f>if('BP input data'!$B$8&gt;AJ2,1,0)+Summary!$B$3+Summary!$B$4+Summary!$B$5</f>
        <v>22</v>
      </c>
      <c r="AK5" s="43">
        <f>if('BP input data'!$B$8&gt;AK2,1,0)+Summary!$B$3+Summary!$B$4+Summary!$B$5</f>
        <v>22</v>
      </c>
      <c r="AL5" s="43">
        <f>if('BP input data'!$B$8&gt;AL2,1,0)+Summary!$B$3+Summary!$B$4+Summary!$B$5</f>
        <v>22</v>
      </c>
      <c r="AM5" s="43">
        <f>if('BP input data'!$B$8&gt;AM2,1,0)+Summary!$B$3+Summary!$B$4+Summary!$B$5</f>
        <v>22</v>
      </c>
      <c r="AN5" s="43">
        <f>if('BP input data'!$B$8&gt;AN2,1,0)+Summary!$B$3+Summary!$B$4+Summary!$B$5</f>
        <v>22</v>
      </c>
      <c r="AO5" s="43">
        <f>if('BP input data'!$B$8&gt;AO2,1,0)+Summary!$B$3+Summary!$B$4+Summary!$B$5</f>
        <v>22</v>
      </c>
      <c r="AP5" s="43">
        <f>if('BP input data'!$B$8&gt;AP2,1,0)+Summary!$B$3+Summary!$B$4+Summary!$B$5</f>
        <v>22</v>
      </c>
      <c r="AQ5" s="43">
        <f>if('BP input data'!$B$8&gt;AQ2,1,0)+Summary!$B$3+Summary!$B$4+Summary!$B$5</f>
        <v>22</v>
      </c>
      <c r="AR5" s="43">
        <f>if('BP input data'!$B$8&gt;AR2,1,0)+Summary!$B$3+Summary!$B$4+Summary!$B$5</f>
        <v>22</v>
      </c>
      <c r="AS5" s="43">
        <f>if('BP input data'!$B$8&gt;AS2,1,0)+Summary!$B$3+Summary!$B$4+Summary!$B$5</f>
        <v>22</v>
      </c>
      <c r="AT5" s="43">
        <f>if('BP input data'!$B$8&gt;AT2,1,0)+Summary!$B$3+Summary!$B$4+Summary!$B$5</f>
        <v>22</v>
      </c>
      <c r="AU5" s="43">
        <f>if('BP input data'!$B$8&gt;AU2,1,0)+Summary!$B$3+Summary!$B$4+Summary!$B$5</f>
        <v>22</v>
      </c>
      <c r="AV5" s="43">
        <f>if('BP input data'!$B$8&gt;AV2,1,0)+Summary!$B$3+Summary!$B$4+Summary!$B$5</f>
        <v>22</v>
      </c>
      <c r="AW5" s="43">
        <f>if('BP input data'!$B$8&gt;AW2,1,0)+Summary!$B$3+Summary!$B$4+Summary!$B$5</f>
        <v>22</v>
      </c>
      <c r="AX5" s="43">
        <f>if('BP input data'!$B$8&gt;AX2,1,0)+Summary!$B$3+Summary!$B$4+Summary!$B$5</f>
        <v>22</v>
      </c>
      <c r="AY5" s="43">
        <f>if('BP input data'!$B$8&gt;AY2,1,0)+Summary!$B$3+Summary!$B$4+Summary!$B$5</f>
        <v>22</v>
      </c>
      <c r="AZ5" s="43">
        <f>if('BP input data'!$B$8&gt;AZ2,1,0)+Summary!$B$3+Summary!$B$4+Summary!$B$5</f>
        <v>22</v>
      </c>
      <c r="BA5" s="43">
        <f>if('BP input data'!$B$8&gt;BA2,1,0)+Summary!$B$3+Summary!$B$4+Summary!$B$5</f>
        <v>22</v>
      </c>
      <c r="BB5" s="43">
        <f>if('BP input data'!$B$8&gt;BB2,1,0)+Summary!$B$3+Summary!$B$4+Summary!$B$5</f>
        <v>22</v>
      </c>
      <c r="BC5" s="43">
        <f>if('BP input data'!$B$8&gt;BC2,1,0)+Summary!$B$3+Summary!$B$4+Summary!$B$5</f>
        <v>22</v>
      </c>
      <c r="BD5" s="43">
        <f>if('BP input data'!$B$8&gt;BD2,1,0)+Summary!$B$3+Summary!$B$4+Summary!$B$5</f>
        <v>22</v>
      </c>
      <c r="BE5" s="43">
        <f>if('BP input data'!$B$8&gt;BE2,1,0)+Summary!$B$3+Summary!$B$4+Summary!$B$5</f>
        <v>22</v>
      </c>
      <c r="BF5" s="43">
        <f>if('BP input data'!$B$8&gt;BF2,1,0)+Summary!$B$3+Summary!$B$4+Summary!$B$5</f>
        <v>22</v>
      </c>
      <c r="BG5" s="43">
        <f>if('BP input data'!$B$8&gt;BG2,1,0)+Summary!$B$3+Summary!$B$4+Summary!$B$5</f>
        <v>22</v>
      </c>
      <c r="BH5" s="43">
        <f>if('BP input data'!$B$8&gt;BH2,1,0)+Summary!$B$3+Summary!$B$4+Summary!$B$5</f>
        <v>22</v>
      </c>
      <c r="BI5" s="43">
        <f>if('BP input data'!$B$8&gt;BI2,1,0)+Summary!$B$3+Summary!$B$4+Summary!$B$5</f>
        <v>22</v>
      </c>
      <c r="BJ5" s="43">
        <f>if('BP input data'!$B$8&gt;BJ2,1,0)+Summary!$B$3+Summary!$B$4+Summary!$B$5</f>
        <v>22</v>
      </c>
    </row>
    <row r="6">
      <c r="A6" s="44" t="s">
        <v>68</v>
      </c>
      <c r="B6" s="42"/>
      <c r="C6" s="45"/>
      <c r="D6" s="45">
        <f>C$5*'BP input data'!$B9</f>
        <v>15</v>
      </c>
      <c r="E6" s="45">
        <f>D$5*'BP input data'!$B9</f>
        <v>15</v>
      </c>
      <c r="F6" s="45">
        <f>E$5*'BP input data'!$B9</f>
        <v>15</v>
      </c>
      <c r="G6" s="45">
        <f>F$5*'BP input data'!$B9</f>
        <v>15</v>
      </c>
      <c r="H6" s="45">
        <f>G$5*'BP input data'!$B9</f>
        <v>15</v>
      </c>
      <c r="I6" s="45">
        <f>H$5*'BP input data'!$B9</f>
        <v>15</v>
      </c>
      <c r="J6" s="45">
        <f>I$5*'BP input data'!$B9</f>
        <v>15</v>
      </c>
      <c r="K6" s="45">
        <f>J$5*'BP input data'!$B9</f>
        <v>15</v>
      </c>
      <c r="L6" s="45">
        <f>K$5*'BP input data'!$B9</f>
        <v>15</v>
      </c>
      <c r="M6" s="45">
        <f>L$5*'BP input data'!$B9</f>
        <v>10</v>
      </c>
      <c r="N6" s="45">
        <f>M$5*'BP input data'!$B9</f>
        <v>10</v>
      </c>
      <c r="O6" s="45">
        <f>N$5*'BP input data'!$B9</f>
        <v>10</v>
      </c>
      <c r="P6" s="45">
        <f>O$5*'BP input data'!$B9</f>
        <v>50</v>
      </c>
      <c r="Q6" s="45">
        <f>P$5*'BP input data'!$B9</f>
        <v>50</v>
      </c>
      <c r="R6" s="45">
        <f>Q$5*'BP input data'!$B9</f>
        <v>50</v>
      </c>
      <c r="S6" s="45">
        <f>R$5*'BP input data'!$B9</f>
        <v>50</v>
      </c>
      <c r="T6" s="45">
        <f>S$5*'BP input data'!$B9</f>
        <v>50</v>
      </c>
      <c r="U6" s="45">
        <f>T$5*'BP input data'!$B9</f>
        <v>50</v>
      </c>
      <c r="V6" s="45">
        <f>U$5*'BP input data'!$B9</f>
        <v>50</v>
      </c>
      <c r="W6" s="45">
        <f>V$5*'BP input data'!$B9</f>
        <v>50</v>
      </c>
      <c r="X6" s="45">
        <f>W$5*'BP input data'!$B9</f>
        <v>50</v>
      </c>
      <c r="Y6" s="45">
        <f>X$5*'BP input data'!$B9</f>
        <v>50</v>
      </c>
      <c r="Z6" s="45">
        <f>Y$5*'BP input data'!$B9</f>
        <v>50</v>
      </c>
      <c r="AA6" s="45">
        <f>Z$5*'BP input data'!$B9</f>
        <v>50</v>
      </c>
      <c r="AB6" s="45">
        <f>AA$5*'BP input data'!$B9</f>
        <v>110</v>
      </c>
      <c r="AC6" s="45">
        <f>AB$5*'BP input data'!$B9</f>
        <v>110</v>
      </c>
      <c r="AD6" s="45">
        <f>AC$5*'BP input data'!$B9</f>
        <v>110</v>
      </c>
      <c r="AE6" s="45">
        <f>AD$5*'BP input data'!$B9</f>
        <v>110</v>
      </c>
      <c r="AF6" s="45">
        <f>AE$5*'BP input data'!$B9</f>
        <v>110</v>
      </c>
      <c r="AG6" s="45">
        <f>AF$5*'BP input data'!$B9</f>
        <v>110</v>
      </c>
      <c r="AH6" s="45">
        <f>AG$5*'BP input data'!$B9</f>
        <v>110</v>
      </c>
      <c r="AI6" s="45">
        <f>AH$5*'BP input data'!$B9</f>
        <v>110</v>
      </c>
      <c r="AJ6" s="45">
        <f>AI$5*'BP input data'!$B9</f>
        <v>110</v>
      </c>
      <c r="AK6" s="45">
        <f>AJ$5*'BP input data'!$B9</f>
        <v>110</v>
      </c>
      <c r="AL6" s="45">
        <f>AK$5*'BP input data'!$B9</f>
        <v>110</v>
      </c>
      <c r="AM6" s="45">
        <f>AL$5*'BP input data'!$B9</f>
        <v>110</v>
      </c>
      <c r="AN6" s="45">
        <f>AM$5*'BP input data'!$B9</f>
        <v>110</v>
      </c>
      <c r="AO6" s="45">
        <f>AN$5*'BP input data'!$B9</f>
        <v>110</v>
      </c>
      <c r="AP6" s="45">
        <f>AO$5*'BP input data'!$B9</f>
        <v>110</v>
      </c>
      <c r="AQ6" s="45">
        <f>AP$5*'BP input data'!$B9</f>
        <v>110</v>
      </c>
      <c r="AR6" s="45">
        <f>AQ$5*'BP input data'!$B9</f>
        <v>110</v>
      </c>
      <c r="AS6" s="45">
        <f>AR$5*'BP input data'!$B9</f>
        <v>110</v>
      </c>
      <c r="AT6" s="45">
        <f>AS$5*'BP input data'!$B9</f>
        <v>110</v>
      </c>
      <c r="AU6" s="45">
        <f>AT$5*'BP input data'!$B9</f>
        <v>110</v>
      </c>
      <c r="AV6" s="45">
        <f>AU$5*'BP input data'!$B9</f>
        <v>110</v>
      </c>
      <c r="AW6" s="45">
        <f>AV$5*'BP input data'!$B9</f>
        <v>110</v>
      </c>
      <c r="AX6" s="45">
        <f>AW$5*'BP input data'!$B9</f>
        <v>110</v>
      </c>
      <c r="AY6" s="45">
        <f>AX$5*'BP input data'!$B9</f>
        <v>110</v>
      </c>
      <c r="AZ6" s="45">
        <f>AY$5*'BP input data'!$B9</f>
        <v>110</v>
      </c>
      <c r="BA6" s="45">
        <f>AZ$5*'BP input data'!$B9</f>
        <v>110</v>
      </c>
      <c r="BB6" s="45">
        <f>BA$5*'BP input data'!$B9</f>
        <v>110</v>
      </c>
      <c r="BC6" s="45">
        <f>BB$5*'BP input data'!$B9</f>
        <v>110</v>
      </c>
      <c r="BD6" s="45">
        <f>BC$5*'BP input data'!$B9</f>
        <v>110</v>
      </c>
      <c r="BE6" s="45">
        <f>BD$5*'BP input data'!$B9</f>
        <v>110</v>
      </c>
      <c r="BF6" s="45">
        <f>BE$5*'BP input data'!$B9</f>
        <v>110</v>
      </c>
      <c r="BG6" s="45">
        <f>BF$5*'BP input data'!$B9</f>
        <v>110</v>
      </c>
      <c r="BH6" s="45">
        <f>BG$5*'BP input data'!$B9</f>
        <v>110</v>
      </c>
      <c r="BI6" s="45">
        <f>BH$5*'BP input data'!$B9</f>
        <v>110</v>
      </c>
      <c r="BJ6" s="45">
        <f>BI$5*'BP input data'!$B9</f>
        <v>110</v>
      </c>
    </row>
    <row r="7">
      <c r="A7" s="44" t="s">
        <v>69</v>
      </c>
      <c r="B7" s="42"/>
      <c r="C7" s="45"/>
      <c r="D7" s="45"/>
      <c r="E7" s="45"/>
      <c r="F7" s="45">
        <f>C$5*'BP input data'!$B10</f>
        <v>9</v>
      </c>
      <c r="G7" s="45">
        <f>D$5*'BP input data'!$B10</f>
        <v>9</v>
      </c>
      <c r="H7" s="45">
        <f>E$5*'BP input data'!$B10</f>
        <v>9</v>
      </c>
      <c r="I7" s="45">
        <f>F$5*'BP input data'!$B10</f>
        <v>9</v>
      </c>
      <c r="J7" s="45">
        <f>G$5*'BP input data'!$B10</f>
        <v>9</v>
      </c>
      <c r="K7" s="45">
        <f>H$5*'BP input data'!$B10</f>
        <v>9</v>
      </c>
      <c r="L7" s="45">
        <f>I$5*'BP input data'!$B10</f>
        <v>9</v>
      </c>
      <c r="M7" s="45">
        <f>J$5*'BP input data'!$B10</f>
        <v>9</v>
      </c>
      <c r="N7" s="45">
        <f>K$5*'BP input data'!$B10</f>
        <v>9</v>
      </c>
      <c r="O7" s="45">
        <f>L$5*'BP input data'!$B10</f>
        <v>6</v>
      </c>
      <c r="P7" s="45">
        <f>M$5*'BP input data'!$B10</f>
        <v>6</v>
      </c>
      <c r="Q7" s="45">
        <f>N$5*'BP input data'!$B10</f>
        <v>6</v>
      </c>
      <c r="R7" s="45">
        <f>O$5*'BP input data'!$B10</f>
        <v>30</v>
      </c>
      <c r="S7" s="45">
        <f>P$5*'BP input data'!$B10</f>
        <v>30</v>
      </c>
      <c r="T7" s="45">
        <f>Q$5*'BP input data'!$B10</f>
        <v>30</v>
      </c>
      <c r="U7" s="45">
        <f>R$5*'BP input data'!$B10</f>
        <v>30</v>
      </c>
      <c r="V7" s="45">
        <f>S$5*'BP input data'!$B10</f>
        <v>30</v>
      </c>
      <c r="W7" s="45">
        <f>T$5*'BP input data'!$B10</f>
        <v>30</v>
      </c>
      <c r="X7" s="45">
        <f>U$5*'BP input data'!$B10</f>
        <v>30</v>
      </c>
      <c r="Y7" s="45">
        <f>V$5*'BP input data'!$B10</f>
        <v>30</v>
      </c>
      <c r="Z7" s="45">
        <f>W$5*'BP input data'!$B10</f>
        <v>30</v>
      </c>
      <c r="AA7" s="45">
        <f>X$5*'BP input data'!$B10</f>
        <v>30</v>
      </c>
      <c r="AB7" s="45">
        <f>Y$5*'BP input data'!$B10</f>
        <v>30</v>
      </c>
      <c r="AC7" s="45">
        <f>Z$5*'BP input data'!$B10</f>
        <v>30</v>
      </c>
      <c r="AD7" s="45">
        <f>AA$5*'BP input data'!$B10</f>
        <v>66</v>
      </c>
      <c r="AE7" s="45">
        <f>AB$5*'BP input data'!$B10</f>
        <v>66</v>
      </c>
      <c r="AF7" s="45">
        <f>AC$5*'BP input data'!$B10</f>
        <v>66</v>
      </c>
      <c r="AG7" s="45">
        <f>AD$5*'BP input data'!$B10</f>
        <v>66</v>
      </c>
      <c r="AH7" s="45">
        <f>AE$5*'BP input data'!$B10</f>
        <v>66</v>
      </c>
      <c r="AI7" s="45">
        <f>AF$5*'BP input data'!$B10</f>
        <v>66</v>
      </c>
      <c r="AJ7" s="45">
        <f>AG$5*'BP input data'!$B10</f>
        <v>66</v>
      </c>
      <c r="AK7" s="45">
        <f>AH$5*'BP input data'!$B10</f>
        <v>66</v>
      </c>
      <c r="AL7" s="45">
        <f>AI$5*'BP input data'!$B10</f>
        <v>66</v>
      </c>
      <c r="AM7" s="45">
        <f>AJ$5*'BP input data'!$B10</f>
        <v>66</v>
      </c>
      <c r="AN7" s="45">
        <f>AK$5*'BP input data'!$B10</f>
        <v>66</v>
      </c>
      <c r="AO7" s="45">
        <f>AL$5*'BP input data'!$B10</f>
        <v>66</v>
      </c>
      <c r="AP7" s="45">
        <f>AM$5*'BP input data'!$B10</f>
        <v>66</v>
      </c>
      <c r="AQ7" s="45">
        <f>AN$5*'BP input data'!$B10</f>
        <v>66</v>
      </c>
      <c r="AR7" s="45">
        <f>AO$5*'BP input data'!$B10</f>
        <v>66</v>
      </c>
      <c r="AS7" s="45">
        <f>AP$5*'BP input data'!$B10</f>
        <v>66</v>
      </c>
      <c r="AT7" s="45">
        <f>AQ$5*'BP input data'!$B10</f>
        <v>66</v>
      </c>
      <c r="AU7" s="45">
        <f>AR$5*'BP input data'!$B10</f>
        <v>66</v>
      </c>
      <c r="AV7" s="45">
        <f>AS$5*'BP input data'!$B10</f>
        <v>66</v>
      </c>
      <c r="AW7" s="45">
        <f>AT$5*'BP input data'!$B10</f>
        <v>66</v>
      </c>
      <c r="AX7" s="45">
        <f>AU$5*'BP input data'!$B10</f>
        <v>66</v>
      </c>
      <c r="AY7" s="45">
        <f>AV$5*'BP input data'!$B10</f>
        <v>66</v>
      </c>
      <c r="AZ7" s="45">
        <f>AW$5*'BP input data'!$B10</f>
        <v>66</v>
      </c>
      <c r="BA7" s="45">
        <f>AX$5*'BP input data'!$B10</f>
        <v>66</v>
      </c>
      <c r="BB7" s="45">
        <f>AY$5*'BP input data'!$B10</f>
        <v>66</v>
      </c>
      <c r="BC7" s="45">
        <f>AZ$5*'BP input data'!$B10</f>
        <v>66</v>
      </c>
      <c r="BD7" s="45">
        <f>BA$5*'BP input data'!$B10</f>
        <v>66</v>
      </c>
      <c r="BE7" s="45">
        <f>BB$5*'BP input data'!$B10</f>
        <v>66</v>
      </c>
      <c r="BF7" s="45">
        <f>BC$5*'BP input data'!$B10</f>
        <v>66</v>
      </c>
      <c r="BG7" s="45">
        <f>BD$5*'BP input data'!$B10</f>
        <v>66</v>
      </c>
      <c r="BH7" s="45">
        <f>BE$5*'BP input data'!$B10</f>
        <v>66</v>
      </c>
      <c r="BI7" s="45">
        <f>BF$5*'BP input data'!$B10</f>
        <v>66</v>
      </c>
      <c r="BJ7" s="45">
        <f>BG$5*'BP input data'!$B10</f>
        <v>66</v>
      </c>
    </row>
    <row r="8">
      <c r="A8" s="44" t="s">
        <v>70</v>
      </c>
      <c r="B8" s="42"/>
      <c r="C8" s="45"/>
      <c r="D8" s="45"/>
      <c r="E8" s="45"/>
      <c r="F8" s="45"/>
      <c r="G8" s="45"/>
      <c r="H8" s="45"/>
      <c r="I8" s="45"/>
      <c r="J8" s="45"/>
      <c r="K8" s="45"/>
      <c r="L8" s="45">
        <f>C$5*'BP input data'!$B11</f>
        <v>3</v>
      </c>
      <c r="M8" s="45">
        <f>D$5*'BP input data'!$B11</f>
        <v>3</v>
      </c>
      <c r="N8" s="45">
        <f>E$5*'BP input data'!$B11</f>
        <v>3</v>
      </c>
      <c r="O8" s="45">
        <f>F$5*'BP input data'!$B11</f>
        <v>3</v>
      </c>
      <c r="P8" s="45">
        <f>G$5*'BP input data'!$B11</f>
        <v>3</v>
      </c>
      <c r="Q8" s="45">
        <f>H$5*'BP input data'!$B11</f>
        <v>3</v>
      </c>
      <c r="R8" s="45">
        <f>I$5*'BP input data'!$B11</f>
        <v>3</v>
      </c>
      <c r="S8" s="45">
        <f>J$5*'BP input data'!$B11</f>
        <v>3</v>
      </c>
      <c r="T8" s="45">
        <f>K$5*'BP input data'!$B11</f>
        <v>3</v>
      </c>
      <c r="U8" s="45">
        <f>L$5*'BP input data'!$B11</f>
        <v>2</v>
      </c>
      <c r="V8" s="45">
        <f>M$5*'BP input data'!$B11</f>
        <v>2</v>
      </c>
      <c r="W8" s="45">
        <f>N$5*'BP input data'!$B11</f>
        <v>2</v>
      </c>
      <c r="X8" s="45">
        <f>O$5*'BP input data'!$B11</f>
        <v>10</v>
      </c>
      <c r="Y8" s="45">
        <f>P$5*'BP input data'!$B11</f>
        <v>10</v>
      </c>
      <c r="Z8" s="45">
        <f>Q$5*'BP input data'!$B11</f>
        <v>10</v>
      </c>
      <c r="AA8" s="45">
        <f>R$5*'BP input data'!$B11</f>
        <v>10</v>
      </c>
      <c r="AB8" s="45">
        <f>S$5*'BP input data'!$B11</f>
        <v>10</v>
      </c>
      <c r="AC8" s="45">
        <f>T$5*'BP input data'!$B11</f>
        <v>10</v>
      </c>
      <c r="AD8" s="45">
        <f>U$5*'BP input data'!$B11</f>
        <v>10</v>
      </c>
      <c r="AE8" s="45">
        <f>V$5*'BP input data'!$B11</f>
        <v>10</v>
      </c>
      <c r="AF8" s="45">
        <f>W$5*'BP input data'!$B11</f>
        <v>10</v>
      </c>
      <c r="AG8" s="45">
        <f>X$5*'BP input data'!$B11</f>
        <v>10</v>
      </c>
      <c r="AH8" s="45">
        <f>Y$5*'BP input data'!$B11</f>
        <v>10</v>
      </c>
      <c r="AI8" s="45">
        <f>Z$5*'BP input data'!$B11</f>
        <v>10</v>
      </c>
      <c r="AJ8" s="45">
        <f>AA$5*'BP input data'!$B11</f>
        <v>22</v>
      </c>
      <c r="AK8" s="45">
        <f>AB$5*'BP input data'!$B11</f>
        <v>22</v>
      </c>
      <c r="AL8" s="45">
        <f>AC$5*'BP input data'!$B11</f>
        <v>22</v>
      </c>
      <c r="AM8" s="45">
        <f>AD$5*'BP input data'!$B11</f>
        <v>22</v>
      </c>
      <c r="AN8" s="45">
        <f>AE$5*'BP input data'!$B11</f>
        <v>22</v>
      </c>
      <c r="AO8" s="45">
        <f>AF$5*'BP input data'!$B11</f>
        <v>22</v>
      </c>
      <c r="AP8" s="45">
        <f>AG$5*'BP input data'!$B11</f>
        <v>22</v>
      </c>
      <c r="AQ8" s="45">
        <f>AH$5*'BP input data'!$B11</f>
        <v>22</v>
      </c>
      <c r="AR8" s="45">
        <f>AI$5*'BP input data'!$B11</f>
        <v>22</v>
      </c>
      <c r="AS8" s="45">
        <f>AJ$5*'BP input data'!$B11</f>
        <v>22</v>
      </c>
      <c r="AT8" s="45">
        <f>AK$5*'BP input data'!$B11</f>
        <v>22</v>
      </c>
      <c r="AU8" s="45">
        <f>AL$5*'BP input data'!$B11</f>
        <v>22</v>
      </c>
      <c r="AV8" s="45">
        <f>AM$5*'BP input data'!$B11</f>
        <v>22</v>
      </c>
      <c r="AW8" s="45">
        <f>AN$5*'BP input data'!$B11</f>
        <v>22</v>
      </c>
      <c r="AX8" s="45">
        <f>AO$5*'BP input data'!$B11</f>
        <v>22</v>
      </c>
      <c r="AY8" s="45">
        <f>AP$5*'BP input data'!$B11</f>
        <v>22</v>
      </c>
      <c r="AZ8" s="45">
        <f>AQ$5*'BP input data'!$B11</f>
        <v>22</v>
      </c>
      <c r="BA8" s="45">
        <f>AR$5*'BP input data'!$B11</f>
        <v>22</v>
      </c>
      <c r="BB8" s="45">
        <f>AS$5*'BP input data'!$B11</f>
        <v>22</v>
      </c>
      <c r="BC8" s="45">
        <f>AT$5*'BP input data'!$B11</f>
        <v>22</v>
      </c>
      <c r="BD8" s="45">
        <f>AU$5*'BP input data'!$B11</f>
        <v>22</v>
      </c>
      <c r="BE8" s="45">
        <f>AV$5*'BP input data'!$B11</f>
        <v>22</v>
      </c>
      <c r="BF8" s="45">
        <f>AW$5*'BP input data'!$B11</f>
        <v>22</v>
      </c>
      <c r="BG8" s="45">
        <f>AX$5*'BP input data'!$B11</f>
        <v>22</v>
      </c>
      <c r="BH8" s="45">
        <f>AY$5*'BP input data'!$B11</f>
        <v>22</v>
      </c>
      <c r="BI8" s="45">
        <f>AZ$5*'BP input data'!$B11</f>
        <v>22</v>
      </c>
      <c r="BJ8" s="45">
        <f>BA$5*'BP input data'!$B11</f>
        <v>22</v>
      </c>
    </row>
    <row r="9">
      <c r="A9" s="46" t="s">
        <v>71</v>
      </c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</row>
    <row r="10">
      <c r="A10" s="49" t="s">
        <v>15</v>
      </c>
      <c r="B10" s="47"/>
      <c r="C10" s="48">
        <f>if( C$2=Online_marketing_start_month,'BP input data'!$B$21,0)</f>
        <v>800</v>
      </c>
      <c r="D10" s="48">
        <f>if(D$2=Online_marketing_start_month,'BP input data'!$B$21,if(D$2&gt;Online_marketing_start_month,min('BP input data'!$B$21*CAC_cap,C10*(1+CAC_growth)),0))</f>
        <v>808</v>
      </c>
      <c r="E10" s="48">
        <f>if(E$2=Online_marketing_start_month,'BP input data'!$B$21,if(E$2&gt;Online_marketing_start_month,min('BP input data'!$B$21*CAC_cap,D10*(1+CAC_growth)),0))</f>
        <v>816.08</v>
      </c>
      <c r="F10" s="48">
        <f>if(F$2=Online_marketing_start_month,'BP input data'!$B$21,if(F$2&gt;Online_marketing_start_month,min('BP input data'!$B$21*CAC_cap,E10*(1+CAC_growth)),0))</f>
        <v>824.2408</v>
      </c>
      <c r="G10" s="48">
        <f>if(G$2=Online_marketing_start_month,'BP input data'!$B$21,if(G$2&gt;Online_marketing_start_month,min('BP input data'!$B$21*CAC_cap,F10*(1+CAC_growth)),0))</f>
        <v>832.483208</v>
      </c>
      <c r="H10" s="48">
        <f>if(H$2=Online_marketing_start_month,'BP input data'!$B$21,if(H$2&gt;Online_marketing_start_month,min('BP input data'!$B$21*CAC_cap,G10*(1+CAC_growth)),0))</f>
        <v>840.8080401</v>
      </c>
      <c r="I10" s="48">
        <f>if(I$2=Online_marketing_start_month,'BP input data'!$B$21,if(I$2&gt;Online_marketing_start_month,min('BP input data'!$B$21*CAC_cap,H10*(1+CAC_growth)),0))</f>
        <v>849.2161205</v>
      </c>
      <c r="J10" s="48">
        <f>if(J$2=Online_marketing_start_month,'BP input data'!$B$21,if(J$2&gt;Online_marketing_start_month,min('BP input data'!$B$21*CAC_cap,I10*(1+CAC_growth)),0))</f>
        <v>857.7082817</v>
      </c>
      <c r="K10" s="48">
        <f>if(K$2=Online_marketing_start_month,'BP input data'!$B$21,if(K$2&gt;Online_marketing_start_month,min('BP input data'!$B$21*CAC_cap,J10*(1+CAC_growth)),0))</f>
        <v>866.2853645</v>
      </c>
      <c r="L10" s="48">
        <f>if(L$2=Online_marketing_start_month,'BP input data'!$B$21,if(L$2&gt;Online_marketing_start_month,min('BP input data'!$B$21*CAC_cap,K10*(1+CAC_growth)),0))</f>
        <v>874.9482181</v>
      </c>
      <c r="M10" s="48">
        <f>if(M$2=Online_marketing_start_month,'BP input data'!$B$21,if(M$2&gt;Online_marketing_start_month,min('BP input data'!$B$21*CAC_cap,L10*(1+CAC_growth)),0))</f>
        <v>883.6977003</v>
      </c>
      <c r="N10" s="48">
        <f>if(N$2=Online_marketing_start_month,'BP input data'!$B$21,if(N$2&gt;Online_marketing_start_month,min('BP input data'!$B$21*CAC_cap,M10*(1+CAC_growth)),0))</f>
        <v>892.5346773</v>
      </c>
      <c r="O10" s="48">
        <f>if(O$2=Online_marketing_start_month,'BP input data'!$B$21,if(O$2&gt;Online_marketing_start_month,min('BP input data'!$B$21*CAC_cap,N10*(1+CAC_growth)),0))</f>
        <v>901.4600241</v>
      </c>
      <c r="P10" s="48">
        <f>if(P$2=Online_marketing_start_month,'BP input data'!$B$21,if(P$2&gt;Online_marketing_start_month,min('BP input data'!$B$21*CAC_cap,O10*(1+CAC_growth)),0))</f>
        <v>910.4746243</v>
      </c>
      <c r="Q10" s="48">
        <f>if(Q$2=Online_marketing_start_month,'BP input data'!$B$21,if(Q$2&gt;Online_marketing_start_month,min('BP input data'!$B$21*CAC_cap,P10*(1+CAC_growth)),0))</f>
        <v>919.5793706</v>
      </c>
      <c r="R10" s="48">
        <f>if(R$2=Online_marketing_start_month,'BP input data'!$B$21,if(R$2&gt;Online_marketing_start_month,min('BP input data'!$B$21*CAC_cap,Q10*(1+CAC_growth)),0))</f>
        <v>928.7751643</v>
      </c>
      <c r="S10" s="48">
        <f>if(S$2=Online_marketing_start_month,'BP input data'!$B$21,if(S$2&gt;Online_marketing_start_month,min('BP input data'!$B$21*CAC_cap,R10*(1+CAC_growth)),0))</f>
        <v>938.0629159</v>
      </c>
      <c r="T10" s="48">
        <f>if(T$2=Online_marketing_start_month,'BP input data'!$B$21,if(T$2&gt;Online_marketing_start_month,min('BP input data'!$B$21*CAC_cap,S10*(1+CAC_growth)),0))</f>
        <v>947.4435451</v>
      </c>
      <c r="U10" s="48">
        <f>if(U$2=Online_marketing_start_month,'BP input data'!$B$21,if(U$2&gt;Online_marketing_start_month,min('BP input data'!$B$21*CAC_cap,T10*(1+CAC_growth)),0))</f>
        <v>956.9179805</v>
      </c>
      <c r="V10" s="48">
        <f>if(V$2=Online_marketing_start_month,'BP input data'!$B$21,if(V$2&gt;Online_marketing_start_month,min('BP input data'!$B$21*CAC_cap,U10*(1+CAC_growth)),0))</f>
        <v>966.4871604</v>
      </c>
      <c r="W10" s="48">
        <f>if(W$2=Online_marketing_start_month,'BP input data'!$B$21,if(W$2&gt;Online_marketing_start_month,min('BP input data'!$B$21*CAC_cap,V10*(1+CAC_growth)),0))</f>
        <v>976.152032</v>
      </c>
      <c r="X10" s="48">
        <f>if(X$2=Online_marketing_start_month,'BP input data'!$B$21,if(X$2&gt;Online_marketing_start_month,min('BP input data'!$B$21*CAC_cap,W10*(1+CAC_growth)),0))</f>
        <v>985.9135523</v>
      </c>
      <c r="Y10" s="48">
        <f>if(Y$2=Online_marketing_start_month,'BP input data'!$B$21,if(Y$2&gt;Online_marketing_start_month,min('BP input data'!$B$21*CAC_cap,X10*(1+CAC_growth)),0))</f>
        <v>995.7726878</v>
      </c>
      <c r="Z10" s="48">
        <f>if(Z$2=Online_marketing_start_month,'BP input data'!$B$21,if(Z$2&gt;Online_marketing_start_month,min('BP input data'!$B$21*CAC_cap,Y10*(1+CAC_growth)),0))</f>
        <v>1005.730415</v>
      </c>
      <c r="AA10" s="48">
        <f>if(AA$2=Online_marketing_start_month,'BP input data'!$B$21,if(AA$2&gt;Online_marketing_start_month,min('BP input data'!$B$21*CAC_cap,Z10*(1+CAC_growth)),0))</f>
        <v>1015.787719</v>
      </c>
      <c r="AB10" s="48">
        <f>if(AB$2=Online_marketing_start_month,'BP input data'!$B$21,if(AB$2&gt;Online_marketing_start_month,min('BP input data'!$B$21*CAC_cap,AA10*(1+CAC_growth)),0))</f>
        <v>1025.945596</v>
      </c>
      <c r="AC10" s="48">
        <f>if(AC$2=Online_marketing_start_month,'BP input data'!$B$21,if(AC$2&gt;Online_marketing_start_month,min('BP input data'!$B$21*CAC_cap,AB10*(1+CAC_growth)),0))</f>
        <v>1036.205052</v>
      </c>
      <c r="AD10" s="48">
        <f>if(AD$2=Online_marketing_start_month,'BP input data'!$B$21,if(AD$2&gt;Online_marketing_start_month,min('BP input data'!$B$21*CAC_cap,AC10*(1+CAC_growth)),0))</f>
        <v>1046.567102</v>
      </c>
      <c r="AE10" s="48">
        <f>if(AE$2=Online_marketing_start_month,'BP input data'!$B$21,if(AE$2&gt;Online_marketing_start_month,min('BP input data'!$B$21*CAC_cap,AD10*(1+CAC_growth)),0))</f>
        <v>1057.032774</v>
      </c>
      <c r="AF10" s="48">
        <f>if(AF$2=Online_marketing_start_month,'BP input data'!$B$21,if(AF$2&gt;Online_marketing_start_month,min('BP input data'!$B$21*CAC_cap,AE10*(1+CAC_growth)),0))</f>
        <v>1067.603101</v>
      </c>
      <c r="AG10" s="48">
        <f>if(AG$2=Online_marketing_start_month,'BP input data'!$B$21,if(AG$2&gt;Online_marketing_start_month,min('BP input data'!$B$21*CAC_cap,AF10*(1+CAC_growth)),0))</f>
        <v>1078.279132</v>
      </c>
      <c r="AH10" s="48">
        <f>if(AH$2=Online_marketing_start_month,'BP input data'!$B$21,if(AH$2&gt;Online_marketing_start_month,min('BP input data'!$B$21*CAC_cap,AG10*(1+CAC_growth)),0))</f>
        <v>1089.061924</v>
      </c>
      <c r="AI10" s="48">
        <f>if(AI$2=Online_marketing_start_month,'BP input data'!$B$21,if(AI$2&gt;Online_marketing_start_month,min('BP input data'!$B$21*CAC_cap,AH10*(1+CAC_growth)),0))</f>
        <v>1099.952543</v>
      </c>
      <c r="AJ10" s="48">
        <f>if(AJ$2=Online_marketing_start_month,'BP input data'!$B$21,if(AJ$2&gt;Online_marketing_start_month,min('BP input data'!$B$21*CAC_cap,AI10*(1+CAC_growth)),0))</f>
        <v>1110.952068</v>
      </c>
      <c r="AK10" s="48">
        <f>if(AK$2=Online_marketing_start_month,'BP input data'!$B$21,if(AK$2&gt;Online_marketing_start_month,min('BP input data'!$B$21*CAC_cap,AJ10*(1+CAC_growth)),0))</f>
        <v>1122.061589</v>
      </c>
      <c r="AL10" s="48">
        <f>if(AL$2=Online_marketing_start_month,'BP input data'!$B$21,if(AL$2&gt;Online_marketing_start_month,min('BP input data'!$B$21*CAC_cap,AK10*(1+CAC_growth)),0))</f>
        <v>1133.282205</v>
      </c>
      <c r="AM10" s="48">
        <f>if(AM$2=Online_marketing_start_month,'BP input data'!$B$21,if(AM$2&gt;Online_marketing_start_month,min('BP input data'!$B$21*CAC_cap,AL10*(1+CAC_growth)),0))</f>
        <v>1144.615027</v>
      </c>
      <c r="AN10" s="48">
        <f>if(AN$2=Online_marketing_start_month,'BP input data'!$B$21,if(AN$2&gt;Online_marketing_start_month,min('BP input data'!$B$21*CAC_cap,AM10*(1+CAC_growth)),0))</f>
        <v>1156.061177</v>
      </c>
      <c r="AO10" s="48">
        <f>if(AO$2=Online_marketing_start_month,'BP input data'!$B$21,if(AO$2&gt;Online_marketing_start_month,min('BP input data'!$B$21*CAC_cap,AN10*(1+CAC_growth)),0))</f>
        <v>1167.621789</v>
      </c>
      <c r="AP10" s="48">
        <f>if(AP$2=Online_marketing_start_month,'BP input data'!$B$21,if(AP$2&gt;Online_marketing_start_month,min('BP input data'!$B$21*CAC_cap,AO10*(1+CAC_growth)),0))</f>
        <v>1179.298007</v>
      </c>
      <c r="AQ10" s="48">
        <f>if(AQ$2=Online_marketing_start_month,'BP input data'!$B$21,if(AQ$2&gt;Online_marketing_start_month,min('BP input data'!$B$21*CAC_cap,AP10*(1+CAC_growth)),0))</f>
        <v>1191.090987</v>
      </c>
      <c r="AR10" s="48">
        <f>if(AR$2=Online_marketing_start_month,'BP input data'!$B$21,if(AR$2&gt;Online_marketing_start_month,min('BP input data'!$B$21*CAC_cap,AQ10*(1+CAC_growth)),0))</f>
        <v>1203.001897</v>
      </c>
      <c r="AS10" s="48">
        <f>if(AS$2=Online_marketing_start_month,'BP input data'!$B$21,if(AS$2&gt;Online_marketing_start_month,min('BP input data'!$B$21*CAC_cap,AR10*(1+CAC_growth)),0))</f>
        <v>1215.031916</v>
      </c>
      <c r="AT10" s="48">
        <f>if(AT$2=Online_marketing_start_month,'BP input data'!$B$21,if(AT$2&gt;Online_marketing_start_month,min('BP input data'!$B$21*CAC_cap,AS10*(1+CAC_growth)),0))</f>
        <v>1227.182235</v>
      </c>
      <c r="AU10" s="48">
        <f>if(AU$2=Online_marketing_start_month,'BP input data'!$B$21,if(AU$2&gt;Online_marketing_start_month,min('BP input data'!$B$21*CAC_cap,AT10*(1+CAC_growth)),0))</f>
        <v>1239.454057</v>
      </c>
      <c r="AV10" s="48">
        <f>if(AV$2=Online_marketing_start_month,'BP input data'!$B$21,if(AV$2&gt;Online_marketing_start_month,min('BP input data'!$B$21*CAC_cap,AU10*(1+CAC_growth)),0))</f>
        <v>1251.848598</v>
      </c>
      <c r="AW10" s="48">
        <f>if(AW$2=Online_marketing_start_month,'BP input data'!$B$21,if(AW$2&gt;Online_marketing_start_month,min('BP input data'!$B$21*CAC_cap,AV10*(1+CAC_growth)),0))</f>
        <v>1264.367084</v>
      </c>
      <c r="AX10" s="48">
        <f>if(AX$2=Online_marketing_start_month,'BP input data'!$B$21,if(AX$2&gt;Online_marketing_start_month,min('BP input data'!$B$21*CAC_cap,AW10*(1+CAC_growth)),0))</f>
        <v>1277.010755</v>
      </c>
      <c r="AY10" s="48">
        <f>if(AY$2=Online_marketing_start_month,'BP input data'!$B$21,if(AY$2&gt;Online_marketing_start_month,min('BP input data'!$B$21*CAC_cap,AX10*(1+CAC_growth)),0))</f>
        <v>1289.780862</v>
      </c>
      <c r="AZ10" s="48">
        <f>if(AZ$2=Online_marketing_start_month,'BP input data'!$B$21,if(AZ$2&gt;Online_marketing_start_month,min('BP input data'!$B$21*CAC_cap,AY10*(1+CAC_growth)),0))</f>
        <v>1302.678671</v>
      </c>
      <c r="BA10" s="48">
        <f>if(BA$2=Online_marketing_start_month,'BP input data'!$B$21,if(BA$2&gt;Online_marketing_start_month,min('BP input data'!$B$21*CAC_cap,AZ10*(1+CAC_growth)),0))</f>
        <v>1315.705457</v>
      </c>
      <c r="BB10" s="48">
        <f>if(BB$2=Online_marketing_start_month,'BP input data'!$B$21,if(BB$2&gt;Online_marketing_start_month,min('BP input data'!$B$21*CAC_cap,BA10*(1+CAC_growth)),0))</f>
        <v>1328.862512</v>
      </c>
      <c r="BC10" s="48">
        <f>if(BC$2=Online_marketing_start_month,'BP input data'!$B$21,if(BC$2&gt;Online_marketing_start_month,min('BP input data'!$B$21*CAC_cap,BB10*(1+CAC_growth)),0))</f>
        <v>1342.151137</v>
      </c>
      <c r="BD10" s="48">
        <f>if(BD$2=Online_marketing_start_month,'BP input data'!$B$21,if(BD$2&gt;Online_marketing_start_month,min('BP input data'!$B$21*CAC_cap,BC10*(1+CAC_growth)),0))</f>
        <v>1355.572649</v>
      </c>
      <c r="BE10" s="48">
        <f>if(BE$2=Online_marketing_start_month,'BP input data'!$B$21,if(BE$2&gt;Online_marketing_start_month,min('BP input data'!$B$21*CAC_cap,BD10*(1+CAC_growth)),0))</f>
        <v>1369.128375</v>
      </c>
      <c r="BF10" s="48">
        <f>if(BF$2=Online_marketing_start_month,'BP input data'!$B$21,if(BF$2&gt;Online_marketing_start_month,min('BP input data'!$B$21*CAC_cap,BE10*(1+CAC_growth)),0))</f>
        <v>1382.819659</v>
      </c>
      <c r="BG10" s="48">
        <f>if(BG$2=Online_marketing_start_month,'BP input data'!$B$21,if(BG$2&gt;Online_marketing_start_month,min('BP input data'!$B$21*CAC_cap,BF10*(1+CAC_growth)),0))</f>
        <v>1396.647855</v>
      </c>
      <c r="BH10" s="48">
        <f>if(BH$2=Online_marketing_start_month,'BP input data'!$B$21,if(BH$2&gt;Online_marketing_start_month,min('BP input data'!$B$21*CAC_cap,BG10*(1+CAC_growth)),0))</f>
        <v>1410.614334</v>
      </c>
      <c r="BI10" s="48">
        <f>if(BI$2=Online_marketing_start_month,'BP input data'!$B$21,if(BI$2&gt;Online_marketing_start_month,min('BP input data'!$B$21*CAC_cap,BH10*(1+CAC_growth)),0))</f>
        <v>1424.720477</v>
      </c>
      <c r="BJ10" s="48">
        <f>if(BJ$2=Online_marketing_start_month,'BP input data'!$B$21,if(BJ$2&gt;Online_marketing_start_month,min('BP input data'!$B$21*CAC_cap,BI10*(1+CAC_growth)),0))</f>
        <v>1438.967682</v>
      </c>
    </row>
    <row r="11">
      <c r="A11" s="44" t="s">
        <v>68</v>
      </c>
      <c r="B11" s="42"/>
      <c r="C11" s="43">
        <f>if(C10&gt;0,('BP input data'!$B$18*C$35)/C10,0)</f>
        <v>0.625</v>
      </c>
      <c r="D11" s="43">
        <f>if(D10&gt;0,('BP input data'!$B$18*D35)/D10,0)</f>
        <v>0.7735148515</v>
      </c>
      <c r="E11" s="43">
        <f>if(E10&gt;0,('BP input data'!$B$18*E35)/E10,0)</f>
        <v>0.9573203607</v>
      </c>
      <c r="F11" s="43">
        <f>if(F10&gt;0,('BP input data'!$B$18*F35)/F10,0)</f>
        <v>1.184802427</v>
      </c>
      <c r="G11" s="43">
        <f>if(G10&gt;0,('BP input data'!$B$18*G35)/G10,0)</f>
        <v>1.466339637</v>
      </c>
      <c r="H11" s="43">
        <f>if(H10&gt;0,('BP input data'!$B$18*H35)/H10,0)</f>
        <v>1.814776778</v>
      </c>
      <c r="I11" s="43">
        <f>if(I10&gt;0,('BP input data'!$B$18*I35)/I10,0)</f>
        <v>2.246010864</v>
      </c>
      <c r="J11" s="43">
        <f>if(J10&gt;0,('BP input data'!$B$18*J35)/J10,0)</f>
        <v>2.779716416</v>
      </c>
      <c r="K11" s="43">
        <f>if(K10&gt;0,('BP input data'!$B$18*K35)/K10,0)</f>
        <v>3.44024309</v>
      </c>
      <c r="L11" s="43">
        <f>if(L10&gt;0,('BP input data'!$B$18*L35)/L10,0)</f>
        <v>4.257726596</v>
      </c>
      <c r="M11" s="43">
        <f>if(M10&gt;0,('BP input data'!$B$18*M35)/M10,0)</f>
        <v>5.269463609</v>
      </c>
      <c r="N11" s="43">
        <f>if(N10&gt;0,('BP input data'!$B$18*N35)/N10,0)</f>
        <v>6.521613377</v>
      </c>
      <c r="O11" s="43">
        <f>if(O10&gt;0,('BP input data'!$B$18*O35)/O10,0)</f>
        <v>8.071303685</v>
      </c>
      <c r="P11" s="43">
        <f>if(P10&gt;0,('BP input data'!$B$18*P35)/P10,0)</f>
        <v>9.989237234</v>
      </c>
      <c r="Q11" s="43">
        <f>if(Q10&gt;0,('BP input data'!$B$18*Q35)/Q10,0)</f>
        <v>12.36291737</v>
      </c>
      <c r="R11" s="43">
        <f>if(R10&gt;0,('BP input data'!$B$18*R35)/R10,0)</f>
        <v>15.30064031</v>
      </c>
      <c r="S11" s="43">
        <f>if(S10&gt;0,('BP input data'!$B$18*S35)/S10,0)</f>
        <v>18.93643602</v>
      </c>
      <c r="T11" s="43">
        <f>if(T10&gt;0,('BP input data'!$B$18*T35)/T10,0)</f>
        <v>23.4361832</v>
      </c>
      <c r="U11" s="43">
        <f>if(U10&gt;0,('BP input data'!$B$18*U35)/U10,0)</f>
        <v>29.00517723</v>
      </c>
      <c r="V11" s="43">
        <f>if(V10&gt;0,('BP input data'!$B$18*V35)/V10,0)</f>
        <v>35.89749657</v>
      </c>
      <c r="W11" s="43">
        <f>if(W10&gt;0,('BP input data'!$B$18*W35)/W10,0)</f>
        <v>44.42759476</v>
      </c>
      <c r="X11" s="43">
        <f>if(X10&gt;0,('BP input data'!$B$18*X35)/X10,0)</f>
        <v>54.98464698</v>
      </c>
      <c r="Y11" s="43">
        <f>if(Y10&gt;0,('BP input data'!$B$18*Y35)/Y10,0)</f>
        <v>68.05030567</v>
      </c>
      <c r="Z11" s="43">
        <f>if(Z10&gt;0,('BP input data'!$B$18*Z35)/Z10,0)</f>
        <v>84.22067533</v>
      </c>
      <c r="AA11" s="43">
        <f>if(AA10&gt;0,('BP input data'!$B$18*AA35)/AA10,0)</f>
        <v>98.44576593</v>
      </c>
      <c r="AB11" s="43">
        <f>if(AB10&gt;0,('BP input data'!$B$18*AB35)/AB10,0)</f>
        <v>97.47105537</v>
      </c>
      <c r="AC11" s="43">
        <f>if(AC10&gt;0,('BP input data'!$B$18*AC35)/AC10,0)</f>
        <v>96.50599542</v>
      </c>
      <c r="AD11" s="43">
        <f>if(AD10&gt;0,('BP input data'!$B$18*AD35)/AD10,0)</f>
        <v>95.55049051</v>
      </c>
      <c r="AE11" s="43">
        <f>if(AE10&gt;0,('BP input data'!$B$18*AE35)/AE10,0)</f>
        <v>94.60444605</v>
      </c>
      <c r="AF11" s="43">
        <f>if(AF10&gt;0,('BP input data'!$B$18*AF35)/AF10,0)</f>
        <v>93.66776837</v>
      </c>
      <c r="AG11" s="43">
        <f>if(AG10&gt;0,('BP input data'!$B$18*AG35)/AG10,0)</f>
        <v>92.74036472</v>
      </c>
      <c r="AH11" s="43">
        <f>if(AH10&gt;0,('BP input data'!$B$18*AH35)/AH10,0)</f>
        <v>91.82214329</v>
      </c>
      <c r="AI11" s="43">
        <f>if(AI10&gt;0,('BP input data'!$B$18*AI35)/AI10,0)</f>
        <v>90.91301316</v>
      </c>
      <c r="AJ11" s="43">
        <f>if(AJ10&gt;0,('BP input data'!$B$18*AJ35)/AJ10,0)</f>
        <v>90.01288432</v>
      </c>
      <c r="AK11" s="43">
        <f>if(AK10&gt;0,('BP input data'!$B$18*AK35)/AK10,0)</f>
        <v>89.12166764</v>
      </c>
      <c r="AL11" s="43">
        <f>if(AL10&gt;0,('BP input data'!$B$18*AL35)/AL10,0)</f>
        <v>88.23927489</v>
      </c>
      <c r="AM11" s="43">
        <f>if(AM10&gt;0,('BP input data'!$B$18*AM35)/AM10,0)</f>
        <v>87.3656187</v>
      </c>
      <c r="AN11" s="43">
        <f>if(AN10&gt;0,('BP input data'!$B$18*AN35)/AN10,0)</f>
        <v>86.50061258</v>
      </c>
      <c r="AO11" s="43">
        <f>if(AO10&gt;0,('BP input data'!$B$18*AO35)/AO10,0)</f>
        <v>85.64417087</v>
      </c>
      <c r="AP11" s="43">
        <f>if(AP10&gt;0,('BP input data'!$B$18*AP35)/AP10,0)</f>
        <v>84.79620878</v>
      </c>
      <c r="AQ11" s="43">
        <f>if(AQ10&gt;0,('BP input data'!$B$18*AQ35)/AQ10,0)</f>
        <v>83.95664236</v>
      </c>
      <c r="AR11" s="43">
        <f>if(AR10&gt;0,('BP input data'!$B$18*AR35)/AR10,0)</f>
        <v>83.12538847</v>
      </c>
      <c r="AS11" s="43">
        <f>if(AS10&gt;0,('BP input data'!$B$18*AS35)/AS10,0)</f>
        <v>82.30236482</v>
      </c>
      <c r="AT11" s="43">
        <f>if(AT10&gt;0,('BP input data'!$B$18*AT35)/AT10,0)</f>
        <v>81.48748993</v>
      </c>
      <c r="AU11" s="43">
        <f>if(AU10&gt;0,('BP input data'!$B$18*AU35)/AU10,0)</f>
        <v>80.68068309</v>
      </c>
      <c r="AV11" s="43">
        <f>if(AV10&gt;0,('BP input data'!$B$18*AV35)/AV10,0)</f>
        <v>79.88186445</v>
      </c>
      <c r="AW11" s="43">
        <f>if(AW10&gt;0,('BP input data'!$B$18*AW35)/AW10,0)</f>
        <v>79.0909549</v>
      </c>
      <c r="AX11" s="43">
        <f>if(AX10&gt;0,('BP input data'!$B$18*AX35)/AX10,0)</f>
        <v>78.30787614</v>
      </c>
      <c r="AY11" s="43">
        <f>if(AY10&gt;0,('BP input data'!$B$18*AY35)/AY10,0)</f>
        <v>77.53255063</v>
      </c>
      <c r="AZ11" s="43">
        <f>if(AZ10&gt;0,('BP input data'!$B$18*AZ35)/AZ10,0)</f>
        <v>76.76490162</v>
      </c>
      <c r="BA11" s="43">
        <f>if(BA10&gt;0,('BP input data'!$B$18*BA35)/BA10,0)</f>
        <v>76.00485309</v>
      </c>
      <c r="BB11" s="43">
        <f>if(BB10&gt;0,('BP input data'!$B$18*BB35)/BB10,0)</f>
        <v>75.25232979</v>
      </c>
      <c r="BC11" s="43">
        <f>if(BC10&gt;0,('BP input data'!$B$18*BC35)/BC10,0)</f>
        <v>74.50725722</v>
      </c>
      <c r="BD11" s="43">
        <f>if(BD10&gt;0,('BP input data'!$B$18*BD35)/BD10,0)</f>
        <v>73.7695616</v>
      </c>
      <c r="BE11" s="43">
        <f>if(BE10&gt;0,('BP input data'!$B$18*BE35)/BE10,0)</f>
        <v>73.0391699</v>
      </c>
      <c r="BF11" s="43">
        <f>if(BF10&gt;0,('BP input data'!$B$18*BF35)/BF10,0)</f>
        <v>72.3160098</v>
      </c>
      <c r="BG11" s="43">
        <f>if(BG10&gt;0,('BP input data'!$B$18*BG35)/BG10,0)</f>
        <v>71.60000971</v>
      </c>
      <c r="BH11" s="43">
        <f>if(BH10&gt;0,('BP input data'!$B$18*BH35)/BH10,0)</f>
        <v>70.89109872</v>
      </c>
      <c r="BI11" s="43">
        <f>if(BI10&gt;0,('BP input data'!$B$18*BI35)/BI10,0)</f>
        <v>70.18920665</v>
      </c>
      <c r="BJ11" s="43">
        <f>if(BJ10&gt;0,('BP input data'!$B$18*BJ35)/BJ10,0)</f>
        <v>69.49426401</v>
      </c>
    </row>
    <row r="12">
      <c r="A12" s="49" t="s">
        <v>16</v>
      </c>
      <c r="B12" s="42"/>
      <c r="C12" s="48">
        <f>if( C$2=Online_marketing_start_month,'BP input data'!$B$22,0)</f>
        <v>1200</v>
      </c>
      <c r="D12" s="48">
        <f>if(D$2=Online_marketing_start_month,'BP input data'!$B$22,if(D$2&gt;Online_marketing_start_month,min('BP input data'!$B$22*CAC_cap,C12*(1+CAC_growth)),0))</f>
        <v>1212</v>
      </c>
      <c r="E12" s="48">
        <f>if(E$2=Online_marketing_start_month,'BP input data'!$B$22,if(E$2&gt;Online_marketing_start_month,min('BP input data'!$B$22*CAC_cap,D12*(1+CAC_growth)),0))</f>
        <v>1224.12</v>
      </c>
      <c r="F12" s="48">
        <f>if(F$2=Online_marketing_start_month,'BP input data'!$B$22,if(F$2&gt;Online_marketing_start_month,min('BP input data'!$B$22*CAC_cap,E12*(1+CAC_growth)),0))</f>
        <v>1236.3612</v>
      </c>
      <c r="G12" s="48">
        <f>if(G$2=Online_marketing_start_month,'BP input data'!$B$22,if(G$2&gt;Online_marketing_start_month,min('BP input data'!$B$22*CAC_cap,F12*(1+CAC_growth)),0))</f>
        <v>1248.724812</v>
      </c>
      <c r="H12" s="48">
        <f>if(H$2=Online_marketing_start_month,'BP input data'!$B$22,if(H$2&gt;Online_marketing_start_month,min('BP input data'!$B$22*CAC_cap,G12*(1+CAC_growth)),0))</f>
        <v>1261.21206</v>
      </c>
      <c r="I12" s="48">
        <f>if(I$2=Online_marketing_start_month,'BP input data'!$B$22,if(I$2&gt;Online_marketing_start_month,min('BP input data'!$B$22*CAC_cap,H12*(1+CAC_growth)),0))</f>
        <v>1273.824181</v>
      </c>
      <c r="J12" s="48">
        <f>if(J$2=Online_marketing_start_month,'BP input data'!$B$22,if(J$2&gt;Online_marketing_start_month,min('BP input data'!$B$22*CAC_cap,I12*(1+CAC_growth)),0))</f>
        <v>1286.562423</v>
      </c>
      <c r="K12" s="48">
        <f>if(K$2=Online_marketing_start_month,'BP input data'!$B$22,if(K$2&gt;Online_marketing_start_month,min('BP input data'!$B$22*CAC_cap,J12*(1+CAC_growth)),0))</f>
        <v>1299.428047</v>
      </c>
      <c r="L12" s="48">
        <f>if(L$2=Online_marketing_start_month,'BP input data'!$B$22,if(L$2&gt;Online_marketing_start_month,min('BP input data'!$B$22*CAC_cap,K12*(1+CAC_growth)),0))</f>
        <v>1312.422327</v>
      </c>
      <c r="M12" s="48">
        <f>if(M$2=Online_marketing_start_month,'BP input data'!$B$22,if(M$2&gt;Online_marketing_start_month,min('BP input data'!$B$22*CAC_cap,L12*(1+CAC_growth)),0))</f>
        <v>1325.54655</v>
      </c>
      <c r="N12" s="48">
        <f>if(N$2=Online_marketing_start_month,'BP input data'!$B$22,if(N$2&gt;Online_marketing_start_month,min('BP input data'!$B$22*CAC_cap,M12*(1+CAC_growth)),0))</f>
        <v>1338.802016</v>
      </c>
      <c r="O12" s="48">
        <f>if(O$2=Online_marketing_start_month,'BP input data'!$B$22,if(O$2&gt;Online_marketing_start_month,min('BP input data'!$B$22*CAC_cap,N12*(1+CAC_growth)),0))</f>
        <v>1352.190036</v>
      </c>
      <c r="P12" s="48">
        <f>if(P$2=Online_marketing_start_month,'BP input data'!$B$22,if(P$2&gt;Online_marketing_start_month,min('BP input data'!$B$22*CAC_cap,O12*(1+CAC_growth)),0))</f>
        <v>1365.711937</v>
      </c>
      <c r="Q12" s="48">
        <f>if(Q$2=Online_marketing_start_month,'BP input data'!$B$22,if(Q$2&gt;Online_marketing_start_month,min('BP input data'!$B$22*CAC_cap,P12*(1+CAC_growth)),0))</f>
        <v>1379.369056</v>
      </c>
      <c r="R12" s="48">
        <f>if(R$2=Online_marketing_start_month,'BP input data'!$B$22,if(R$2&gt;Online_marketing_start_month,min('BP input data'!$B$22*CAC_cap,Q12*(1+CAC_growth)),0))</f>
        <v>1393.162746</v>
      </c>
      <c r="S12" s="48">
        <f>if(S$2=Online_marketing_start_month,'BP input data'!$B$22,if(S$2&gt;Online_marketing_start_month,min('BP input data'!$B$22*CAC_cap,R12*(1+CAC_growth)),0))</f>
        <v>1407.094374</v>
      </c>
      <c r="T12" s="48">
        <f>if(T$2=Online_marketing_start_month,'BP input data'!$B$22,if(T$2&gt;Online_marketing_start_month,min('BP input data'!$B$22*CAC_cap,S12*(1+CAC_growth)),0))</f>
        <v>1421.165318</v>
      </c>
      <c r="U12" s="48">
        <f>if(U$2=Online_marketing_start_month,'BP input data'!$B$22,if(U$2&gt;Online_marketing_start_month,min('BP input data'!$B$22*CAC_cap,T12*(1+CAC_growth)),0))</f>
        <v>1435.376971</v>
      </c>
      <c r="V12" s="48">
        <f>if(V$2=Online_marketing_start_month,'BP input data'!$B$22,if(V$2&gt;Online_marketing_start_month,min('BP input data'!$B$22*CAC_cap,U12*(1+CAC_growth)),0))</f>
        <v>1449.730741</v>
      </c>
      <c r="W12" s="48">
        <f>if(W$2=Online_marketing_start_month,'BP input data'!$B$22,if(W$2&gt;Online_marketing_start_month,min('BP input data'!$B$22*CAC_cap,V12*(1+CAC_growth)),0))</f>
        <v>1464.228048</v>
      </c>
      <c r="X12" s="48">
        <f>if(X$2=Online_marketing_start_month,'BP input data'!$B$22,if(X$2&gt;Online_marketing_start_month,min('BP input data'!$B$22*CAC_cap,W12*(1+CAC_growth)),0))</f>
        <v>1478.870328</v>
      </c>
      <c r="Y12" s="48">
        <f>if(Y$2=Online_marketing_start_month,'BP input data'!$B$22,if(Y$2&gt;Online_marketing_start_month,min('BP input data'!$B$22*CAC_cap,X12*(1+CAC_growth)),0))</f>
        <v>1493.659032</v>
      </c>
      <c r="Z12" s="48">
        <f>if(Z$2=Online_marketing_start_month,'BP input data'!$B$22,if(Z$2&gt;Online_marketing_start_month,min('BP input data'!$B$22*CAC_cap,Y12*(1+CAC_growth)),0))</f>
        <v>1508.595622</v>
      </c>
      <c r="AA12" s="48">
        <f>if(AA$2=Online_marketing_start_month,'BP input data'!$B$22,if(AA$2&gt;Online_marketing_start_month,min('BP input data'!$B$22*CAC_cap,Z12*(1+CAC_growth)),0))</f>
        <v>1523.681578</v>
      </c>
      <c r="AB12" s="48">
        <f>if(AB$2=Online_marketing_start_month,'BP input data'!$B$22,if(AB$2&gt;Online_marketing_start_month,min('BP input data'!$B$22*CAC_cap,AA12*(1+CAC_growth)),0))</f>
        <v>1538.918394</v>
      </c>
      <c r="AC12" s="48">
        <f>if(AC$2=Online_marketing_start_month,'BP input data'!$B$22,if(AC$2&gt;Online_marketing_start_month,min('BP input data'!$B$22*CAC_cap,AB12*(1+CAC_growth)),0))</f>
        <v>1554.307578</v>
      </c>
      <c r="AD12" s="48">
        <f>if(AD$2=Online_marketing_start_month,'BP input data'!$B$22,if(AD$2&gt;Online_marketing_start_month,min('BP input data'!$B$22*CAC_cap,AC12*(1+CAC_growth)),0))</f>
        <v>1569.850654</v>
      </c>
      <c r="AE12" s="48">
        <f>if(AE$2=Online_marketing_start_month,'BP input data'!$B$22,if(AE$2&gt;Online_marketing_start_month,min('BP input data'!$B$22*CAC_cap,AD12*(1+CAC_growth)),0))</f>
        <v>1585.54916</v>
      </c>
      <c r="AF12" s="48">
        <f>if(AF$2=Online_marketing_start_month,'BP input data'!$B$22,if(AF$2&gt;Online_marketing_start_month,min('BP input data'!$B$22*CAC_cap,AE12*(1+CAC_growth)),0))</f>
        <v>1601.404652</v>
      </c>
      <c r="AG12" s="48">
        <f>if(AG$2=Online_marketing_start_month,'BP input data'!$B$22,if(AG$2&gt;Online_marketing_start_month,min('BP input data'!$B$22*CAC_cap,AF12*(1+CAC_growth)),0))</f>
        <v>1617.418698</v>
      </c>
      <c r="AH12" s="48">
        <f>if(AH$2=Online_marketing_start_month,'BP input data'!$B$22,if(AH$2&gt;Online_marketing_start_month,min('BP input data'!$B$22*CAC_cap,AG12*(1+CAC_growth)),0))</f>
        <v>1633.592885</v>
      </c>
      <c r="AI12" s="48">
        <f>if(AI$2=Online_marketing_start_month,'BP input data'!$B$22,if(AI$2&gt;Online_marketing_start_month,min('BP input data'!$B$22*CAC_cap,AH12*(1+CAC_growth)),0))</f>
        <v>1649.928814</v>
      </c>
      <c r="AJ12" s="48">
        <f>if(AJ$2=Online_marketing_start_month,'BP input data'!$B$22,if(AJ$2&gt;Online_marketing_start_month,min('BP input data'!$B$22*CAC_cap,AI12*(1+CAC_growth)),0))</f>
        <v>1666.428102</v>
      </c>
      <c r="AK12" s="48">
        <f>if(AK$2=Online_marketing_start_month,'BP input data'!$B$22,if(AK$2&gt;Online_marketing_start_month,min('BP input data'!$B$22*CAC_cap,AJ12*(1+CAC_growth)),0))</f>
        <v>1683.092383</v>
      </c>
      <c r="AL12" s="48">
        <f>if(AL$2=Online_marketing_start_month,'BP input data'!$B$22,if(AL$2&gt;Online_marketing_start_month,min('BP input data'!$B$22*CAC_cap,AK12*(1+CAC_growth)),0))</f>
        <v>1699.923307</v>
      </c>
      <c r="AM12" s="48">
        <f>if(AM$2=Online_marketing_start_month,'BP input data'!$B$22,if(AM$2&gt;Online_marketing_start_month,min('BP input data'!$B$22*CAC_cap,AL12*(1+CAC_growth)),0))</f>
        <v>1716.92254</v>
      </c>
      <c r="AN12" s="48">
        <f>if(AN$2=Online_marketing_start_month,'BP input data'!$B$22,if(AN$2&gt;Online_marketing_start_month,min('BP input data'!$B$22*CAC_cap,AM12*(1+CAC_growth)),0))</f>
        <v>1734.091766</v>
      </c>
      <c r="AO12" s="48">
        <f>if(AO$2=Online_marketing_start_month,'BP input data'!$B$22,if(AO$2&gt;Online_marketing_start_month,min('BP input data'!$B$22*CAC_cap,AN12*(1+CAC_growth)),0))</f>
        <v>1751.432683</v>
      </c>
      <c r="AP12" s="48">
        <f>if(AP$2=Online_marketing_start_month,'BP input data'!$B$22,if(AP$2&gt;Online_marketing_start_month,min('BP input data'!$B$22*CAC_cap,AO12*(1+CAC_growth)),0))</f>
        <v>1768.94701</v>
      </c>
      <c r="AQ12" s="48">
        <f>if(AQ$2=Online_marketing_start_month,'BP input data'!$B$22,if(AQ$2&gt;Online_marketing_start_month,min('BP input data'!$B$22*CAC_cap,AP12*(1+CAC_growth)),0))</f>
        <v>1786.63648</v>
      </c>
      <c r="AR12" s="48">
        <f>if(AR$2=Online_marketing_start_month,'BP input data'!$B$22,if(AR$2&gt;Online_marketing_start_month,min('BP input data'!$B$22*CAC_cap,AQ12*(1+CAC_growth)),0))</f>
        <v>1804.502845</v>
      </c>
      <c r="AS12" s="48">
        <f>if(AS$2=Online_marketing_start_month,'BP input data'!$B$22,if(AS$2&gt;Online_marketing_start_month,min('BP input data'!$B$22*CAC_cap,AR12*(1+CAC_growth)),0))</f>
        <v>1822.547874</v>
      </c>
      <c r="AT12" s="48">
        <f>if(AT$2=Online_marketing_start_month,'BP input data'!$B$22,if(AT$2&gt;Online_marketing_start_month,min('BP input data'!$B$22*CAC_cap,AS12*(1+CAC_growth)),0))</f>
        <v>1840.773352</v>
      </c>
      <c r="AU12" s="48">
        <f>if(AU$2=Online_marketing_start_month,'BP input data'!$B$22,if(AU$2&gt;Online_marketing_start_month,min('BP input data'!$B$22*CAC_cap,AT12*(1+CAC_growth)),0))</f>
        <v>1859.181086</v>
      </c>
      <c r="AV12" s="48">
        <f>if(AV$2=Online_marketing_start_month,'BP input data'!$B$22,if(AV$2&gt;Online_marketing_start_month,min('BP input data'!$B$22*CAC_cap,AU12*(1+CAC_growth)),0))</f>
        <v>1877.772897</v>
      </c>
      <c r="AW12" s="48">
        <f>if(AW$2=Online_marketing_start_month,'BP input data'!$B$22,if(AW$2&gt;Online_marketing_start_month,min('BP input data'!$B$22*CAC_cap,AV12*(1+CAC_growth)),0))</f>
        <v>1896.550626</v>
      </c>
      <c r="AX12" s="48">
        <f>if(AX$2=Online_marketing_start_month,'BP input data'!$B$22,if(AX$2&gt;Online_marketing_start_month,min('BP input data'!$B$22*CAC_cap,AW12*(1+CAC_growth)),0))</f>
        <v>1915.516132</v>
      </c>
      <c r="AY12" s="48">
        <f>if(AY$2=Online_marketing_start_month,'BP input data'!$B$22,if(AY$2&gt;Online_marketing_start_month,min('BP input data'!$B$22*CAC_cap,AX12*(1+CAC_growth)),0))</f>
        <v>1934.671293</v>
      </c>
      <c r="AZ12" s="48">
        <f>if(AZ$2=Online_marketing_start_month,'BP input data'!$B$22,if(AZ$2&gt;Online_marketing_start_month,min('BP input data'!$B$22*CAC_cap,AY12*(1+CAC_growth)),0))</f>
        <v>1954.018006</v>
      </c>
      <c r="BA12" s="48">
        <f>if(BA$2=Online_marketing_start_month,'BP input data'!$B$22,if(BA$2&gt;Online_marketing_start_month,min('BP input data'!$B$22*CAC_cap,AZ12*(1+CAC_growth)),0))</f>
        <v>1973.558186</v>
      </c>
      <c r="BB12" s="48">
        <f>if(BB$2=Online_marketing_start_month,'BP input data'!$B$22,if(BB$2&gt;Online_marketing_start_month,min('BP input data'!$B$22*CAC_cap,BA12*(1+CAC_growth)),0))</f>
        <v>1993.293768</v>
      </c>
      <c r="BC12" s="48">
        <f>if(BC$2=Online_marketing_start_month,'BP input data'!$B$22,if(BC$2&gt;Online_marketing_start_month,min('BP input data'!$B$22*CAC_cap,BB12*(1+CAC_growth)),0))</f>
        <v>2013.226706</v>
      </c>
      <c r="BD12" s="48">
        <f>if(BD$2=Online_marketing_start_month,'BP input data'!$B$22,if(BD$2&gt;Online_marketing_start_month,min('BP input data'!$B$22*CAC_cap,BC12*(1+CAC_growth)),0))</f>
        <v>2033.358973</v>
      </c>
      <c r="BE12" s="48">
        <f>if(BE$2=Online_marketing_start_month,'BP input data'!$B$22,if(BE$2&gt;Online_marketing_start_month,min('BP input data'!$B$22*CAC_cap,BD12*(1+CAC_growth)),0))</f>
        <v>2053.692563</v>
      </c>
      <c r="BF12" s="48">
        <f>if(BF$2=Online_marketing_start_month,'BP input data'!$B$22,if(BF$2&gt;Online_marketing_start_month,min('BP input data'!$B$22*CAC_cap,BE12*(1+CAC_growth)),0))</f>
        <v>2074.229488</v>
      </c>
      <c r="BG12" s="48">
        <f>if(BG$2=Online_marketing_start_month,'BP input data'!$B$22,if(BG$2&gt;Online_marketing_start_month,min('BP input data'!$B$22*CAC_cap,BF12*(1+CAC_growth)),0))</f>
        <v>2094.971783</v>
      </c>
      <c r="BH12" s="48">
        <f>if(BH$2=Online_marketing_start_month,'BP input data'!$B$22,if(BH$2&gt;Online_marketing_start_month,min('BP input data'!$B$22*CAC_cap,BG12*(1+CAC_growth)),0))</f>
        <v>2115.921501</v>
      </c>
      <c r="BI12" s="48">
        <f>if(BI$2=Online_marketing_start_month,'BP input data'!$B$22,if(BI$2&gt;Online_marketing_start_month,min('BP input data'!$B$22*CAC_cap,BH12*(1+CAC_growth)),0))</f>
        <v>2137.080716</v>
      </c>
      <c r="BJ12" s="48">
        <f>if(BJ$2=Online_marketing_start_month,'BP input data'!$B$22,if(BJ$2&gt;Online_marketing_start_month,min('BP input data'!$B$22*CAC_cap,BI12*(1+CAC_growth)),0))</f>
        <v>2158.451523</v>
      </c>
    </row>
    <row r="13">
      <c r="A13" s="44" t="s">
        <v>69</v>
      </c>
      <c r="B13" s="42"/>
      <c r="C13" s="43">
        <f>if(C12&gt;0,('BP input data'!$B$19*C$35)/C12,0)</f>
        <v>0.4166666667</v>
      </c>
      <c r="D13" s="43">
        <f>if(D12&gt;0,('BP input data'!$B$18*D37)/D12,0)</f>
        <v>3.671617162</v>
      </c>
      <c r="E13" s="43">
        <f>if(E12&gt;0,('BP input data'!$B$18*E37)/E12,0)</f>
        <v>4.125412541</v>
      </c>
      <c r="F13" s="43">
        <f>if(F12&gt;0,('BP input data'!$B$18*F37)/F12,0)</f>
        <v>5.05515702</v>
      </c>
      <c r="G13" s="43">
        <f>if(G12&gt;0,('BP input data'!$B$18*G37)/G12,0)</f>
        <v>5.005105961</v>
      </c>
      <c r="H13" s="43">
        <f>if(H12&gt;0,('BP input data'!$B$18*H37)/H12,0)</f>
        <v>4.955550456</v>
      </c>
      <c r="I13" s="43">
        <f>if(I12&gt;0,('BP input data'!$B$18*I37)/I12,0)</f>
        <v>6.201797799</v>
      </c>
      <c r="J13" s="43">
        <f>if(J12&gt;0,('BP input data'!$B$18*J37)/J12,0)</f>
        <v>6.14039386</v>
      </c>
      <c r="K13" s="43">
        <f>if(K12&gt;0,('BP input data'!$B$18*K37)/K12,0)</f>
        <v>6.079597881</v>
      </c>
      <c r="L13" s="43">
        <f>if(L12&gt;0,('BP input data'!$B$18*L37)/L12,0)</f>
        <v>6.019403843</v>
      </c>
      <c r="M13" s="43">
        <f>if(M12&gt;0,('BP input data'!$B$18*M37)/M12,0)</f>
        <v>5.959805785</v>
      </c>
      <c r="N13" s="43">
        <f>if(N12&gt;0,('BP input data'!$B$18*N37)/N12,0)</f>
        <v>5.452635948</v>
      </c>
      <c r="O13" s="43">
        <f>if(O12&gt;0,('BP input data'!$B$18*O37)/O12,0)</f>
        <v>10.61241365</v>
      </c>
      <c r="P13" s="43">
        <f>if(P12&gt;0,('BP input data'!$B$18*P37)/P12,0)</f>
        <v>10.50734025</v>
      </c>
      <c r="Q13" s="43">
        <f>if(Q12&gt;0,('BP input data'!$B$18*Q37)/Q12,0)</f>
        <v>10.40330718</v>
      </c>
      <c r="R13" s="43">
        <f>if(R12&gt;0,('BP input data'!$B$18*R37)/R12,0)</f>
        <v>10.30030414</v>
      </c>
      <c r="S13" s="43">
        <f>if(S12&gt;0,('BP input data'!$B$18*S37)/S12,0)</f>
        <v>10.19832093</v>
      </c>
      <c r="T13" s="43">
        <f>if(T12&gt;0,('BP input data'!$B$18*T37)/T12,0)</f>
        <v>10.09734745</v>
      </c>
      <c r="U13" s="43">
        <f>if(U12&gt;0,('BP input data'!$B$18*U37)/U12,0)</f>
        <v>9.997373716</v>
      </c>
      <c r="V13" s="43">
        <f>if(V12&gt;0,('BP input data'!$B$18*V37)/V12,0)</f>
        <v>9.898389817</v>
      </c>
      <c r="W13" s="43">
        <f>if(W12&gt;0,('BP input data'!$B$18*W37)/W12,0)</f>
        <v>9.800385958</v>
      </c>
      <c r="X13" s="43">
        <f>if(X12&gt;0,('BP input data'!$B$18*X37)/X12,0)</f>
        <v>9.703352433</v>
      </c>
      <c r="Y13" s="43">
        <f>if(Y12&gt;0,('BP input data'!$B$18*Y37)/Y12,0)</f>
        <v>9.607279637</v>
      </c>
      <c r="Z13" s="43">
        <f>if(Z12&gt;0,('BP input data'!$B$18*Z37)/Z12,0)</f>
        <v>9.512158057</v>
      </c>
      <c r="AA13" s="43">
        <f>if(AA12&gt;0,('BP input data'!$B$18*AA37)/AA12,0)</f>
        <v>14.14337504</v>
      </c>
      <c r="AB13" s="43">
        <f>if(AB12&gt;0,('BP input data'!$B$18*AB37)/AB12,0)</f>
        <v>14.00334162</v>
      </c>
      <c r="AC13" s="43">
        <f>if(AC12&gt;0,('BP input data'!$B$18*AC37)/AC12,0)</f>
        <v>13.86469468</v>
      </c>
      <c r="AD13" s="43">
        <f>if(AD12&gt;0,('BP input data'!$B$18*AD37)/AD12,0)</f>
        <v>13.72742047</v>
      </c>
      <c r="AE13" s="43">
        <f>if(AE12&gt;0,('BP input data'!$B$18*AE37)/AE12,0)</f>
        <v>13.59150542</v>
      </c>
      <c r="AF13" s="43">
        <f>if(AF12&gt;0,('BP input data'!$B$18*AF37)/AF12,0)</f>
        <v>13.45693606</v>
      </c>
      <c r="AG13" s="43">
        <f>if(AG12&gt;0,('BP input data'!$B$18*AG37)/AG12,0)</f>
        <v>13.32369907</v>
      </c>
      <c r="AH13" s="43">
        <f>if(AH12&gt;0,('BP input data'!$B$18*AH37)/AH12,0)</f>
        <v>13.19178125</v>
      </c>
      <c r="AI13" s="43">
        <f>if(AI12&gt;0,('BP input data'!$B$18*AI37)/AI12,0)</f>
        <v>13.06116956</v>
      </c>
      <c r="AJ13" s="43">
        <f>if(AJ12&gt;0,('BP input data'!$B$18*AJ37)/AJ12,0)</f>
        <v>12.93185105</v>
      </c>
      <c r="AK13" s="43">
        <f>if(AK12&gt;0,('BP input data'!$B$18*AK37)/AK12,0)</f>
        <v>12.80381292</v>
      </c>
      <c r="AL13" s="43">
        <f>if(AL12&gt;0,('BP input data'!$B$18*AL37)/AL12,0)</f>
        <v>12.67704249</v>
      </c>
      <c r="AM13" s="43">
        <f>if(AM12&gt;0,('BP input data'!$B$18*AM37)/AM12,0)</f>
        <v>12.55152722</v>
      </c>
      <c r="AN13" s="43">
        <f>if(AN12&gt;0,('BP input data'!$B$18*AN37)/AN12,0)</f>
        <v>12.42725467</v>
      </c>
      <c r="AO13" s="43">
        <f>if(AO12&gt;0,('BP input data'!$B$18*AO37)/AO12,0)</f>
        <v>12.30421255</v>
      </c>
      <c r="AP13" s="43">
        <f>if(AP12&gt;0,('BP input data'!$B$18*AP37)/AP12,0)</f>
        <v>12.18238866</v>
      </c>
      <c r="AQ13" s="43">
        <f>if(AQ12&gt;0,('BP input data'!$B$18*AQ37)/AQ12,0)</f>
        <v>12.06177095</v>
      </c>
      <c r="AR13" s="43">
        <f>if(AR12&gt;0,('BP input data'!$B$18*AR37)/AR12,0)</f>
        <v>11.94234748</v>
      </c>
      <c r="AS13" s="43">
        <f>if(AS12&gt;0,('BP input data'!$B$18*AS37)/AS12,0)</f>
        <v>11.82410641</v>
      </c>
      <c r="AT13" s="43">
        <f>if(AT12&gt;0,('BP input data'!$B$18*AT37)/AT12,0)</f>
        <v>11.70703605</v>
      </c>
      <c r="AU13" s="43">
        <f>if(AU12&gt;0,('BP input data'!$B$18*AU37)/AU12,0)</f>
        <v>11.5911248</v>
      </c>
      <c r="AV13" s="43">
        <f>if(AV12&gt;0,('BP input data'!$B$18*AV37)/AV12,0)</f>
        <v>11.47636119</v>
      </c>
      <c r="AW13" s="43">
        <f>if(AW12&gt;0,('BP input data'!$B$18*AW37)/AW12,0)</f>
        <v>11.36273385</v>
      </c>
      <c r="AX13" s="43">
        <f>if(AX12&gt;0,('BP input data'!$B$18*AX37)/AX12,0)</f>
        <v>11.25023154</v>
      </c>
      <c r="AY13" s="43">
        <f>if(AY12&gt;0,('BP input data'!$B$18*AY37)/AY12,0)</f>
        <v>11.13884311</v>
      </c>
      <c r="AZ13" s="43">
        <f>if(AZ12&gt;0,('BP input data'!$B$18*AZ37)/AZ12,0)</f>
        <v>11.02855753</v>
      </c>
      <c r="BA13" s="43">
        <f>if(BA12&gt;0,('BP input data'!$B$18*BA37)/BA12,0)</f>
        <v>10.91936389</v>
      </c>
      <c r="BB13" s="43">
        <f>if(BB12&gt;0,('BP input data'!$B$18*BB37)/BB12,0)</f>
        <v>10.81125138</v>
      </c>
      <c r="BC13" s="43">
        <f>if(BC12&gt;0,('BP input data'!$B$18*BC37)/BC12,0)</f>
        <v>10.70420929</v>
      </c>
      <c r="BD13" s="43">
        <f>if(BD12&gt;0,('BP input data'!$B$18*BD37)/BD12,0)</f>
        <v>10.59822702</v>
      </c>
      <c r="BE13" s="43">
        <f>if(BE12&gt;0,('BP input data'!$B$18*BE37)/BE12,0)</f>
        <v>10.49329408</v>
      </c>
      <c r="BF13" s="43">
        <f>if(BF12&gt;0,('BP input data'!$B$18*BF37)/BF12,0)</f>
        <v>10.38940008</v>
      </c>
      <c r="BG13" s="43">
        <f>if(BG12&gt;0,('BP input data'!$B$18*BG37)/BG12,0)</f>
        <v>10.28653473</v>
      </c>
      <c r="BH13" s="43">
        <f>if(BH12&gt;0,('BP input data'!$B$18*BH37)/BH12,0)</f>
        <v>10.18468785</v>
      </c>
      <c r="BI13" s="43">
        <f>if(BI12&gt;0,('BP input data'!$B$18*BI37)/BI12,0)</f>
        <v>10.08384936</v>
      </c>
      <c r="BJ13" s="43">
        <f>if(BJ12&gt;0,('BP input data'!$B$18*BJ37)/BJ12,0)</f>
        <v>9.984009263</v>
      </c>
    </row>
    <row r="14">
      <c r="A14" s="49" t="s">
        <v>17</v>
      </c>
      <c r="B14" s="42"/>
      <c r="C14" s="48">
        <f>if( C$2=Online_marketing_start_month,'BP input data'!$B$23,0)</f>
        <v>1500</v>
      </c>
      <c r="D14" s="48">
        <f>if(D$2=Online_marketing_start_month,'BP input data'!$B$23,if(D$2&gt;Online_marketing_start_month,min('BP input data'!$B$23*CAC_cap,C14*(1+CAC_growth)),0))</f>
        <v>1515</v>
      </c>
      <c r="E14" s="48">
        <f>if(E$2=Online_marketing_start_month,'BP input data'!$B$23,if(E$2&gt;Online_marketing_start_month,min('BP input data'!$B$23*CAC_cap,D14*(1+CAC_growth)),0))</f>
        <v>1530.15</v>
      </c>
      <c r="F14" s="48">
        <f>if(F$2=Online_marketing_start_month,'BP input data'!$B$23,if(F$2&gt;Online_marketing_start_month,min('BP input data'!$B$23*CAC_cap,E14*(1+CAC_growth)),0))</f>
        <v>1545.4515</v>
      </c>
      <c r="G14" s="48">
        <f>if(G$2=Online_marketing_start_month,'BP input data'!$B$23,if(G$2&gt;Online_marketing_start_month,min('BP input data'!$B$23*CAC_cap,F14*(1+CAC_growth)),0))</f>
        <v>1560.906015</v>
      </c>
      <c r="H14" s="48">
        <f>if(H$2=Online_marketing_start_month,'BP input data'!$B$23,if(H$2&gt;Online_marketing_start_month,min('BP input data'!$B$23*CAC_cap,G14*(1+CAC_growth)),0))</f>
        <v>1576.515075</v>
      </c>
      <c r="I14" s="48">
        <f>if(I$2=Online_marketing_start_month,'BP input data'!$B$23,if(I$2&gt;Online_marketing_start_month,min('BP input data'!$B$23*CAC_cap,H14*(1+CAC_growth)),0))</f>
        <v>1592.280226</v>
      </c>
      <c r="J14" s="48">
        <f>if(J$2=Online_marketing_start_month,'BP input data'!$B$23,if(J$2&gt;Online_marketing_start_month,min('BP input data'!$B$23*CAC_cap,I14*(1+CAC_growth)),0))</f>
        <v>1608.203028</v>
      </c>
      <c r="K14" s="48">
        <f>if(K$2=Online_marketing_start_month,'BP input data'!$B$23,if(K$2&gt;Online_marketing_start_month,min('BP input data'!$B$23*CAC_cap,J14*(1+CAC_growth)),0))</f>
        <v>1624.285058</v>
      </c>
      <c r="L14" s="48">
        <f>if(L$2=Online_marketing_start_month,'BP input data'!$B$23,if(L$2&gt;Online_marketing_start_month,min('BP input data'!$B$23*CAC_cap,K14*(1+CAC_growth)),0))</f>
        <v>1640.527909</v>
      </c>
      <c r="M14" s="48">
        <f>if(M$2=Online_marketing_start_month,'BP input data'!$B$23,if(M$2&gt;Online_marketing_start_month,min('BP input data'!$B$23*CAC_cap,L14*(1+CAC_growth)),0))</f>
        <v>1656.933188</v>
      </c>
      <c r="N14" s="48">
        <f>if(N$2=Online_marketing_start_month,'BP input data'!$B$23,if(N$2&gt;Online_marketing_start_month,min('BP input data'!$B$23*CAC_cap,M14*(1+CAC_growth)),0))</f>
        <v>1673.50252</v>
      </c>
      <c r="O14" s="48">
        <f>if(O$2=Online_marketing_start_month,'BP input data'!$B$23,if(O$2&gt;Online_marketing_start_month,min('BP input data'!$B$23*CAC_cap,N14*(1+CAC_growth)),0))</f>
        <v>1690.237545</v>
      </c>
      <c r="P14" s="48">
        <f>if(P$2=Online_marketing_start_month,'BP input data'!$B$23,if(P$2&gt;Online_marketing_start_month,min('BP input data'!$B$23*CAC_cap,O14*(1+CAC_growth)),0))</f>
        <v>1707.139921</v>
      </c>
      <c r="Q14" s="48">
        <f>if(Q$2=Online_marketing_start_month,'BP input data'!$B$23,if(Q$2&gt;Online_marketing_start_month,min('BP input data'!$B$23*CAC_cap,P14*(1+CAC_growth)),0))</f>
        <v>1724.21132</v>
      </c>
      <c r="R14" s="48">
        <f>if(R$2=Online_marketing_start_month,'BP input data'!$B$23,if(R$2&gt;Online_marketing_start_month,min('BP input data'!$B$23*CAC_cap,Q14*(1+CAC_growth)),0))</f>
        <v>1741.453433</v>
      </c>
      <c r="S14" s="48">
        <f>if(S$2=Online_marketing_start_month,'BP input data'!$B$23,if(S$2&gt;Online_marketing_start_month,min('BP input data'!$B$23*CAC_cap,R14*(1+CAC_growth)),0))</f>
        <v>1758.867967</v>
      </c>
      <c r="T14" s="48">
        <f>if(T$2=Online_marketing_start_month,'BP input data'!$B$23,if(T$2&gt;Online_marketing_start_month,min('BP input data'!$B$23*CAC_cap,S14*(1+CAC_growth)),0))</f>
        <v>1776.456647</v>
      </c>
      <c r="U14" s="48">
        <f>if(U$2=Online_marketing_start_month,'BP input data'!$B$23,if(U$2&gt;Online_marketing_start_month,min('BP input data'!$B$23*CAC_cap,T14*(1+CAC_growth)),0))</f>
        <v>1794.221214</v>
      </c>
      <c r="V14" s="48">
        <f>if(V$2=Online_marketing_start_month,'BP input data'!$B$23,if(V$2&gt;Online_marketing_start_month,min('BP input data'!$B$23*CAC_cap,U14*(1+CAC_growth)),0))</f>
        <v>1812.163426</v>
      </c>
      <c r="W14" s="48">
        <f>if(W$2=Online_marketing_start_month,'BP input data'!$B$23,if(W$2&gt;Online_marketing_start_month,min('BP input data'!$B$23*CAC_cap,V14*(1+CAC_growth)),0))</f>
        <v>1830.28506</v>
      </c>
      <c r="X14" s="48">
        <f>if(X$2=Online_marketing_start_month,'BP input data'!$B$23,if(X$2&gt;Online_marketing_start_month,min('BP input data'!$B$23*CAC_cap,W14*(1+CAC_growth)),0))</f>
        <v>1848.587911</v>
      </c>
      <c r="Y14" s="48">
        <f>if(Y$2=Online_marketing_start_month,'BP input data'!$B$23,if(Y$2&gt;Online_marketing_start_month,min('BP input data'!$B$23*CAC_cap,X14*(1+CAC_growth)),0))</f>
        <v>1867.07379</v>
      </c>
      <c r="Z14" s="48">
        <f>if(Z$2=Online_marketing_start_month,'BP input data'!$B$23,if(Z$2&gt;Online_marketing_start_month,min('BP input data'!$B$23*CAC_cap,Y14*(1+CAC_growth)),0))</f>
        <v>1885.744528</v>
      </c>
      <c r="AA14" s="48">
        <f>if(AA$2=Online_marketing_start_month,'BP input data'!$B$23,if(AA$2&gt;Online_marketing_start_month,min('BP input data'!$B$23*CAC_cap,Z14*(1+CAC_growth)),0))</f>
        <v>1904.601973</v>
      </c>
      <c r="AB14" s="48">
        <f>if(AB$2=Online_marketing_start_month,'BP input data'!$B$23,if(AB$2&gt;Online_marketing_start_month,min('BP input data'!$B$23*CAC_cap,AA14*(1+CAC_growth)),0))</f>
        <v>1923.647993</v>
      </c>
      <c r="AC14" s="48">
        <f>if(AC$2=Online_marketing_start_month,'BP input data'!$B$23,if(AC$2&gt;Online_marketing_start_month,min('BP input data'!$B$23*CAC_cap,AB14*(1+CAC_growth)),0))</f>
        <v>1942.884472</v>
      </c>
      <c r="AD14" s="48">
        <f>if(AD$2=Online_marketing_start_month,'BP input data'!$B$23,if(AD$2&gt;Online_marketing_start_month,min('BP input data'!$B$23*CAC_cap,AC14*(1+CAC_growth)),0))</f>
        <v>1962.313317</v>
      </c>
      <c r="AE14" s="48">
        <f>if(AE$2=Online_marketing_start_month,'BP input data'!$B$23,if(AE$2&gt;Online_marketing_start_month,min('BP input data'!$B$23*CAC_cap,AD14*(1+CAC_growth)),0))</f>
        <v>1981.93645</v>
      </c>
      <c r="AF14" s="48">
        <f>if(AF$2=Online_marketing_start_month,'BP input data'!$B$23,if(AF$2&gt;Online_marketing_start_month,min('BP input data'!$B$23*CAC_cap,AE14*(1+CAC_growth)),0))</f>
        <v>2001.755815</v>
      </c>
      <c r="AG14" s="48">
        <f>if(AG$2=Online_marketing_start_month,'BP input data'!$B$23,if(AG$2&gt;Online_marketing_start_month,min('BP input data'!$B$23*CAC_cap,AF14*(1+CAC_growth)),0))</f>
        <v>2021.773373</v>
      </c>
      <c r="AH14" s="48">
        <f>if(AH$2=Online_marketing_start_month,'BP input data'!$B$23,if(AH$2&gt;Online_marketing_start_month,min('BP input data'!$B$23*CAC_cap,AG14*(1+CAC_growth)),0))</f>
        <v>2041.991107</v>
      </c>
      <c r="AI14" s="48">
        <f>if(AI$2=Online_marketing_start_month,'BP input data'!$B$23,if(AI$2&gt;Online_marketing_start_month,min('BP input data'!$B$23*CAC_cap,AH14*(1+CAC_growth)),0))</f>
        <v>2062.411018</v>
      </c>
      <c r="AJ14" s="48">
        <f>if(AJ$2=Online_marketing_start_month,'BP input data'!$B$23,if(AJ$2&gt;Online_marketing_start_month,min('BP input data'!$B$23*CAC_cap,AI14*(1+CAC_growth)),0))</f>
        <v>2083.035128</v>
      </c>
      <c r="AK14" s="48">
        <f>if(AK$2=Online_marketing_start_month,'BP input data'!$B$23,if(AK$2&gt;Online_marketing_start_month,min('BP input data'!$B$23*CAC_cap,AJ14*(1+CAC_growth)),0))</f>
        <v>2103.865479</v>
      </c>
      <c r="AL14" s="48">
        <f>if(AL$2=Online_marketing_start_month,'BP input data'!$B$23,if(AL$2&gt;Online_marketing_start_month,min('BP input data'!$B$23*CAC_cap,AK14*(1+CAC_growth)),0))</f>
        <v>2124.904134</v>
      </c>
      <c r="AM14" s="48">
        <f>if(AM$2=Online_marketing_start_month,'BP input data'!$B$23,if(AM$2&gt;Online_marketing_start_month,min('BP input data'!$B$23*CAC_cap,AL14*(1+CAC_growth)),0))</f>
        <v>2146.153175</v>
      </c>
      <c r="AN14" s="48">
        <f>if(AN$2=Online_marketing_start_month,'BP input data'!$B$23,if(AN$2&gt;Online_marketing_start_month,min('BP input data'!$B$23*CAC_cap,AM14*(1+CAC_growth)),0))</f>
        <v>2167.614707</v>
      </c>
      <c r="AO14" s="48">
        <f>if(AO$2=Online_marketing_start_month,'BP input data'!$B$23,if(AO$2&gt;Online_marketing_start_month,min('BP input data'!$B$23*CAC_cap,AN14*(1+CAC_growth)),0))</f>
        <v>2189.290854</v>
      </c>
      <c r="AP14" s="48">
        <f>if(AP$2=Online_marketing_start_month,'BP input data'!$B$23,if(AP$2&gt;Online_marketing_start_month,min('BP input data'!$B$23*CAC_cap,AO14*(1+CAC_growth)),0))</f>
        <v>2211.183763</v>
      </c>
      <c r="AQ14" s="48">
        <f>if(AQ$2=Online_marketing_start_month,'BP input data'!$B$23,if(AQ$2&gt;Online_marketing_start_month,min('BP input data'!$B$23*CAC_cap,AP14*(1+CAC_growth)),0))</f>
        <v>2233.2956</v>
      </c>
      <c r="AR14" s="48">
        <f>if(AR$2=Online_marketing_start_month,'BP input data'!$B$23,if(AR$2&gt;Online_marketing_start_month,min('BP input data'!$B$23*CAC_cap,AQ14*(1+CAC_growth)),0))</f>
        <v>2255.628556</v>
      </c>
      <c r="AS14" s="48">
        <f>if(AS$2=Online_marketing_start_month,'BP input data'!$B$23,if(AS$2&gt;Online_marketing_start_month,min('BP input data'!$B$23*CAC_cap,AR14*(1+CAC_growth)),0))</f>
        <v>2278.184842</v>
      </c>
      <c r="AT14" s="48">
        <f>if(AT$2=Online_marketing_start_month,'BP input data'!$B$23,if(AT$2&gt;Online_marketing_start_month,min('BP input data'!$B$23*CAC_cap,AS14*(1+CAC_growth)),0))</f>
        <v>2300.96669</v>
      </c>
      <c r="AU14" s="48">
        <f>if(AU$2=Online_marketing_start_month,'BP input data'!$B$23,if(AU$2&gt;Online_marketing_start_month,min('BP input data'!$B$23*CAC_cap,AT14*(1+CAC_growth)),0))</f>
        <v>2323.976357</v>
      </c>
      <c r="AV14" s="48">
        <f>if(AV$2=Online_marketing_start_month,'BP input data'!$B$23,if(AV$2&gt;Online_marketing_start_month,min('BP input data'!$B$23*CAC_cap,AU14*(1+CAC_growth)),0))</f>
        <v>2347.216121</v>
      </c>
      <c r="AW14" s="48">
        <f>if(AW$2=Online_marketing_start_month,'BP input data'!$B$23,if(AW$2&gt;Online_marketing_start_month,min('BP input data'!$B$23*CAC_cap,AV14*(1+CAC_growth)),0))</f>
        <v>2370.688282</v>
      </c>
      <c r="AX14" s="48">
        <f>if(AX$2=Online_marketing_start_month,'BP input data'!$B$23,if(AX$2&gt;Online_marketing_start_month,min('BP input data'!$B$23*CAC_cap,AW14*(1+CAC_growth)),0))</f>
        <v>2394.395165</v>
      </c>
      <c r="AY14" s="48">
        <f>if(AY$2=Online_marketing_start_month,'BP input data'!$B$23,if(AY$2&gt;Online_marketing_start_month,min('BP input data'!$B$23*CAC_cap,AX14*(1+CAC_growth)),0))</f>
        <v>2418.339117</v>
      </c>
      <c r="AZ14" s="48">
        <f>if(AZ$2=Online_marketing_start_month,'BP input data'!$B$23,if(AZ$2&gt;Online_marketing_start_month,min('BP input data'!$B$23*CAC_cap,AY14*(1+CAC_growth)),0))</f>
        <v>2442.522508</v>
      </c>
      <c r="BA14" s="48">
        <f>if(BA$2=Online_marketing_start_month,'BP input data'!$B$23,if(BA$2&gt;Online_marketing_start_month,min('BP input data'!$B$23*CAC_cap,AZ14*(1+CAC_growth)),0))</f>
        <v>2466.947733</v>
      </c>
      <c r="BB14" s="48">
        <f>if(BB$2=Online_marketing_start_month,'BP input data'!$B$23,if(BB$2&gt;Online_marketing_start_month,min('BP input data'!$B$23*CAC_cap,BA14*(1+CAC_growth)),0))</f>
        <v>2491.61721</v>
      </c>
      <c r="BC14" s="48">
        <f>if(BC$2=Online_marketing_start_month,'BP input data'!$B$23,if(BC$2&gt;Online_marketing_start_month,min('BP input data'!$B$23*CAC_cap,BB14*(1+CAC_growth)),0))</f>
        <v>2516.533382</v>
      </c>
      <c r="BD14" s="48">
        <f>if(BD$2=Online_marketing_start_month,'BP input data'!$B$23,if(BD$2&gt;Online_marketing_start_month,min('BP input data'!$B$23*CAC_cap,BC14*(1+CAC_growth)),0))</f>
        <v>2541.698716</v>
      </c>
      <c r="BE14" s="48">
        <f>if(BE$2=Online_marketing_start_month,'BP input data'!$B$23,if(BE$2&gt;Online_marketing_start_month,min('BP input data'!$B$23*CAC_cap,BD14*(1+CAC_growth)),0))</f>
        <v>2567.115703</v>
      </c>
      <c r="BF14" s="48">
        <f>if(BF$2=Online_marketing_start_month,'BP input data'!$B$23,if(BF$2&gt;Online_marketing_start_month,min('BP input data'!$B$23*CAC_cap,BE14*(1+CAC_growth)),0))</f>
        <v>2592.78686</v>
      </c>
      <c r="BG14" s="48">
        <f>if(BG$2=Online_marketing_start_month,'BP input data'!$B$23,if(BG$2&gt;Online_marketing_start_month,min('BP input data'!$B$23*CAC_cap,BF14*(1+CAC_growth)),0))</f>
        <v>2618.714729</v>
      </c>
      <c r="BH14" s="48">
        <f>if(BH$2=Online_marketing_start_month,'BP input data'!$B$23,if(BH$2&gt;Online_marketing_start_month,min('BP input data'!$B$23*CAC_cap,BG14*(1+CAC_growth)),0))</f>
        <v>2644.901876</v>
      </c>
      <c r="BI14" s="48">
        <f>if(BI$2=Online_marketing_start_month,'BP input data'!$B$23,if(BI$2&gt;Online_marketing_start_month,min('BP input data'!$B$23*CAC_cap,BH14*(1+CAC_growth)),0))</f>
        <v>2671.350895</v>
      </c>
      <c r="BJ14" s="48">
        <f>if(BJ$2=Online_marketing_start_month,'BP input data'!$B$23,if(BJ$2&gt;Online_marketing_start_month,min('BP input data'!$B$23*CAC_cap,BI14*(1+CAC_growth)),0))</f>
        <v>2698.064404</v>
      </c>
    </row>
    <row r="15">
      <c r="A15" s="44" t="s">
        <v>70</v>
      </c>
      <c r="B15" s="42"/>
      <c r="C15" s="43">
        <f>if(C14&gt;0,('BP input data'!$B$20*C$35)/C14,0)</f>
        <v>2.666666667</v>
      </c>
      <c r="D15" s="43">
        <f>if(D14&gt;0,('BP input data'!$B$20*D$35)/D14,0)</f>
        <v>3.300330033</v>
      </c>
      <c r="E15" s="43">
        <f>if(E14&gt;0,('BP input data'!$B$20*E$35)/E14,0)</f>
        <v>4.084566873</v>
      </c>
      <c r="F15" s="43">
        <f>if(F14&gt;0,('BP input data'!$B$20*F$35)/F14,0)</f>
        <v>5.05515702</v>
      </c>
      <c r="G15" s="43">
        <f>if(G14&gt;0,('BP input data'!$B$20*G$35)/G14,0)</f>
        <v>6.256382451</v>
      </c>
      <c r="H15" s="43">
        <f>if(H14&gt;0,('BP input data'!$B$20*H$35)/H14,0)</f>
        <v>7.743047588</v>
      </c>
      <c r="I15" s="43">
        <f>if(I14&gt;0,('BP input data'!$B$20*I$35)/I14,0)</f>
        <v>9.582979688</v>
      </c>
      <c r="J15" s="43">
        <f>if(J14&gt;0,('BP input data'!$B$20*J$35)/J14,0)</f>
        <v>11.86012338</v>
      </c>
      <c r="K15" s="43">
        <f>if(K14&gt;0,('BP input data'!$B$20*K$35)/K14,0)</f>
        <v>14.67837052</v>
      </c>
      <c r="L15" s="43">
        <f>if(L14&gt;0,('BP input data'!$B$20*L$35)/L14,0)</f>
        <v>18.16630014</v>
      </c>
      <c r="M15" s="43">
        <f>if(M14&gt;0,('BP input data'!$B$20*M$35)/M14,0)</f>
        <v>22.48304473</v>
      </c>
      <c r="N15" s="43">
        <f>if(N14&gt;0,('BP input data'!$B$20*N$35)/N14,0)</f>
        <v>27.82555041</v>
      </c>
      <c r="O15" s="43">
        <f>if(O14&gt;0,('BP input data'!$B$20*O$35)/O14,0)</f>
        <v>34.43756239</v>
      </c>
      <c r="P15" s="43">
        <f>if(P14&gt;0,('BP input data'!$B$20*P$35)/P14,0)</f>
        <v>42.62074553</v>
      </c>
      <c r="Q15" s="43">
        <f>if(Q14&gt;0,('BP input data'!$B$20*Q$35)/Q14,0)</f>
        <v>52.74844744</v>
      </c>
      <c r="R15" s="43">
        <f>if(R14&gt;0,('BP input data'!$B$20*R$35)/R14,0)</f>
        <v>65.28273198</v>
      </c>
      <c r="S15" s="43">
        <f>if(S14&gt;0,('BP input data'!$B$20*S$35)/S14,0)</f>
        <v>80.79546037</v>
      </c>
      <c r="T15" s="43">
        <f>if(T14&gt;0,('BP input data'!$B$20*T$35)/T14,0)</f>
        <v>99.99438164</v>
      </c>
      <c r="U15" s="43">
        <f>if(U14&gt;0,('BP input data'!$B$20*U$35)/U14,0)</f>
        <v>123.7554228</v>
      </c>
      <c r="V15" s="43">
        <f>if(V14&gt;0,('BP input data'!$B$20*V$35)/V14,0)</f>
        <v>153.162652</v>
      </c>
      <c r="W15" s="43">
        <f>if(W14&gt;0,('BP input data'!$B$20*W$35)/W14,0)</f>
        <v>189.5577376</v>
      </c>
      <c r="X15" s="43">
        <f>if(X14&gt;0,('BP input data'!$B$20*X$35)/X14,0)</f>
        <v>234.6011604</v>
      </c>
      <c r="Y15" s="43">
        <f>if(Y14&gt;0,('BP input data'!$B$20*Y$35)/Y14,0)</f>
        <v>290.3479708</v>
      </c>
      <c r="Z15" s="43">
        <f>if(Z14&gt;0,('BP input data'!$B$20*Z$35)/Z14,0)</f>
        <v>359.3415481</v>
      </c>
      <c r="AA15" s="43">
        <f>if(AA14&gt;0,('BP input data'!$B$20*AA$35)/AA14,0)</f>
        <v>420.035268</v>
      </c>
      <c r="AB15" s="43">
        <f>if(AB14&gt;0,('BP input data'!$B$20*AB$35)/AB14,0)</f>
        <v>415.8765029</v>
      </c>
      <c r="AC15" s="43">
        <f>if(AC14&gt;0,('BP input data'!$B$20*AC$35)/AC14,0)</f>
        <v>411.7589138</v>
      </c>
      <c r="AD15" s="43">
        <f>if(AD14&gt;0,('BP input data'!$B$20*AD$35)/AD14,0)</f>
        <v>407.6820929</v>
      </c>
      <c r="AE15" s="43">
        <f>if(AE14&gt;0,('BP input data'!$B$20*AE$35)/AE14,0)</f>
        <v>403.6456365</v>
      </c>
      <c r="AF15" s="43">
        <f>if(AF14&gt;0,('BP input data'!$B$20*AF$35)/AF14,0)</f>
        <v>399.649145</v>
      </c>
      <c r="AG15" s="43">
        <f>if(AG14&gt;0,('BP input data'!$B$20*AG$35)/AG14,0)</f>
        <v>395.6922228</v>
      </c>
      <c r="AH15" s="43">
        <f>if(AH14&gt;0,('BP input data'!$B$20*AH$35)/AH14,0)</f>
        <v>391.774478</v>
      </c>
      <c r="AI15" s="43">
        <f>if(AI14&gt;0,('BP input data'!$B$20*AI$35)/AI14,0)</f>
        <v>387.8955228</v>
      </c>
      <c r="AJ15" s="43">
        <f>if(AJ14&gt;0,('BP input data'!$B$20*AJ$35)/AJ14,0)</f>
        <v>384.0549731</v>
      </c>
      <c r="AK15" s="43">
        <f>if(AK14&gt;0,('BP input data'!$B$20*AK$35)/AK14,0)</f>
        <v>380.2524486</v>
      </c>
      <c r="AL15" s="43">
        <f>if(AL14&gt;0,('BP input data'!$B$20*AL$35)/AL14,0)</f>
        <v>376.4875729</v>
      </c>
      <c r="AM15" s="43">
        <f>if(AM14&gt;0,('BP input data'!$B$20*AM$35)/AM14,0)</f>
        <v>372.7599731</v>
      </c>
      <c r="AN15" s="43">
        <f>if(AN14&gt;0,('BP input data'!$B$20*AN$35)/AN14,0)</f>
        <v>369.0692803</v>
      </c>
      <c r="AO15" s="43">
        <f>if(AO14&gt;0,('BP input data'!$B$20*AO$35)/AO14,0)</f>
        <v>365.415129</v>
      </c>
      <c r="AP15" s="43">
        <f>if(AP14&gt;0,('BP input data'!$B$20*AP$35)/AP14,0)</f>
        <v>361.7971575</v>
      </c>
      <c r="AQ15" s="43">
        <f>if(AQ14&gt;0,('BP input data'!$B$20*AQ$35)/AQ14,0)</f>
        <v>358.2150074</v>
      </c>
      <c r="AR15" s="43">
        <f>if(AR14&gt;0,('BP input data'!$B$20*AR$35)/AR14,0)</f>
        <v>354.6683242</v>
      </c>
      <c r="AS15" s="43">
        <f>if(AS14&gt;0,('BP input data'!$B$20*AS$35)/AS14,0)</f>
        <v>351.1567566</v>
      </c>
      <c r="AT15" s="43">
        <f>if(AT14&gt;0,('BP input data'!$B$20*AT$35)/AT14,0)</f>
        <v>347.679957</v>
      </c>
      <c r="AU15" s="43">
        <f>if(AU14&gt;0,('BP input data'!$B$20*AU$35)/AU14,0)</f>
        <v>344.2375812</v>
      </c>
      <c r="AV15" s="43">
        <f>if(AV14&gt;0,('BP input data'!$B$20*AV$35)/AV14,0)</f>
        <v>340.8292883</v>
      </c>
      <c r="AW15" s="43">
        <f>if(AW14&gt;0,('BP input data'!$B$20*AW$35)/AW14,0)</f>
        <v>337.4547409</v>
      </c>
      <c r="AX15" s="43">
        <f>if(AX14&gt;0,('BP input data'!$B$20*AX$35)/AX14,0)</f>
        <v>334.1136049</v>
      </c>
      <c r="AY15" s="43">
        <f>if(AY14&gt;0,('BP input data'!$B$20*AY$35)/AY14,0)</f>
        <v>330.8055494</v>
      </c>
      <c r="AZ15" s="43">
        <f>if(AZ14&gt;0,('BP input data'!$B$20*AZ$35)/AZ14,0)</f>
        <v>327.5302469</v>
      </c>
      <c r="BA15" s="43">
        <f>if(BA14&gt;0,('BP input data'!$B$20*BA$35)/BA14,0)</f>
        <v>324.2873732</v>
      </c>
      <c r="BB15" s="43">
        <f>if(BB14&gt;0,('BP input data'!$B$20*BB$35)/BB14,0)</f>
        <v>321.0766071</v>
      </c>
      <c r="BC15" s="43">
        <f>if(BC14&gt;0,('BP input data'!$B$20*BC$35)/BC14,0)</f>
        <v>317.8976308</v>
      </c>
      <c r="BD15" s="43">
        <f>if(BD14&gt;0,('BP input data'!$B$20*BD$35)/BD14,0)</f>
        <v>314.7501295</v>
      </c>
      <c r="BE15" s="43">
        <f>if(BE14&gt;0,('BP input data'!$B$20*BE$35)/BE14,0)</f>
        <v>311.6337916</v>
      </c>
      <c r="BF15" s="43">
        <f>if(BF14&gt;0,('BP input data'!$B$20*BF$35)/BF14,0)</f>
        <v>308.5483085</v>
      </c>
      <c r="BG15" s="43">
        <f>if(BG14&gt;0,('BP input data'!$B$20*BG$35)/BG14,0)</f>
        <v>305.4933747</v>
      </c>
      <c r="BH15" s="43">
        <f>if(BH14&gt;0,('BP input data'!$B$20*BH$35)/BH14,0)</f>
        <v>302.4686879</v>
      </c>
      <c r="BI15" s="43">
        <f>if(BI14&gt;0,('BP input data'!$B$20*BI$35)/BI14,0)</f>
        <v>299.4739484</v>
      </c>
      <c r="BJ15" s="43">
        <f>if(BJ14&gt;0,('BP input data'!$B$20*BJ$35)/BJ14,0)</f>
        <v>296.5088598</v>
      </c>
    </row>
    <row r="16">
      <c r="A16" s="41" t="s">
        <v>72</v>
      </c>
      <c r="B16" s="42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</row>
    <row r="17">
      <c r="A17" s="50" t="s">
        <v>73</v>
      </c>
      <c r="B17" s="51"/>
      <c r="C17" s="52"/>
      <c r="D17" s="45">
        <f>C18*'BP input data'!$B$26</f>
        <v>0.00625</v>
      </c>
      <c r="E17" s="45">
        <f>D18*'BP input data'!$B$26</f>
        <v>0.1639226485</v>
      </c>
      <c r="F17" s="45">
        <f>E18*'BP input data'!$B$26</f>
        <v>0.3218566256</v>
      </c>
      <c r="G17" s="45">
        <f>F18*'BP input data'!$B$26</f>
        <v>0.4804860836</v>
      </c>
      <c r="H17" s="45">
        <f>G18*'BP input data'!$B$26</f>
        <v>0.6403446192</v>
      </c>
      <c r="I17" s="45">
        <f>H18*'BP input data'!$B$26</f>
        <v>0.8020889408</v>
      </c>
      <c r="J17" s="45">
        <f>I18*'BP input data'!$B$26</f>
        <v>0.96652816</v>
      </c>
      <c r="K17" s="45">
        <f>J18*'BP input data'!$B$26</f>
        <v>1.134660043</v>
      </c>
      <c r="L17" s="45">
        <f>K18*'BP input data'!$B$26</f>
        <v>1.307715873</v>
      </c>
      <c r="M17" s="45">
        <f>L18*'BP input data'!$B$26</f>
        <v>1.48721598</v>
      </c>
      <c r="N17" s="45">
        <f>M18*'BP input data'!$B$26</f>
        <v>1.625038457</v>
      </c>
      <c r="O17" s="45">
        <f>N18*'BP input data'!$B$26</f>
        <v>1.774004206</v>
      </c>
      <c r="P17" s="45">
        <f>O18*'BP input data'!$B$26</f>
        <v>1.936977201</v>
      </c>
      <c r="Q17" s="45">
        <f>P18*'BP input data'!$B$26</f>
        <v>2.517499801</v>
      </c>
      <c r="R17" s="45">
        <f>Q18*'BP input data'!$B$26</f>
        <v>3.115953977</v>
      </c>
      <c r="S17" s="45">
        <f>R18*'BP input data'!$B$26</f>
        <v>3.73780084</v>
      </c>
      <c r="T17" s="45">
        <f>S18*'BP input data'!$B$26</f>
        <v>4.389787192</v>
      </c>
      <c r="U17" s="45">
        <f>T18*'BP input data'!$B$26</f>
        <v>5.080251152</v>
      </c>
      <c r="V17" s="45">
        <f>U18*'BP input data'!$B$26</f>
        <v>5.819500412</v>
      </c>
      <c r="W17" s="45">
        <f>V18*'BP input data'!$B$26</f>
        <v>6.620280374</v>
      </c>
      <c r="X17" s="45">
        <f>W18*'BP input data'!$B$26</f>
        <v>7.498353518</v>
      </c>
      <c r="Y17" s="45">
        <f>X18*'BP input data'!$B$26</f>
        <v>8.473216452</v>
      </c>
      <c r="Z17" s="45">
        <f>Y18*'BP input data'!$B$26</f>
        <v>9.568987345</v>
      </c>
      <c r="AA17" s="45">
        <f>Z18*'BP input data'!$B$26</f>
        <v>10.81550422</v>
      </c>
      <c r="AB17" s="45">
        <f>AA18*'BP input data'!$B$26</f>
        <v>12.19180684</v>
      </c>
      <c r="AC17" s="45">
        <f>AB18*'BP input data'!$B$26</f>
        <v>14.14459933</v>
      </c>
      <c r="AD17" s="45">
        <f>AC18*'BP input data'!$B$26</f>
        <v>16.06821329</v>
      </c>
      <c r="AE17" s="45">
        <f>AD18*'BP input data'!$B$26</f>
        <v>17.96303606</v>
      </c>
      <c r="AF17" s="45">
        <f>AE18*'BP input data'!$B$26</f>
        <v>19.82945016</v>
      </c>
      <c r="AG17" s="45">
        <f>AF18*'BP input data'!$B$26</f>
        <v>21.66783334</v>
      </c>
      <c r="AH17" s="45">
        <f>AG18*'BP input data'!$B$26</f>
        <v>23.47855866</v>
      </c>
      <c r="AI17" s="45">
        <f>AH18*'BP input data'!$B$26</f>
        <v>25.2619945</v>
      </c>
      <c r="AJ17" s="45">
        <f>AI18*'BP input data'!$B$26</f>
        <v>27.01850469</v>
      </c>
      <c r="AK17" s="45">
        <f>AJ18*'BP input data'!$B$26</f>
        <v>28.74844849</v>
      </c>
      <c r="AL17" s="45">
        <f>AK18*'BP input data'!$B$26</f>
        <v>30.45218068</v>
      </c>
      <c r="AM17" s="45">
        <f>AL18*'BP input data'!$B$26</f>
        <v>32.13005162</v>
      </c>
      <c r="AN17" s="45">
        <f>AM18*'BP input data'!$B$26</f>
        <v>33.78240729</v>
      </c>
      <c r="AO17" s="45">
        <f>AN18*'BP input data'!$B$26</f>
        <v>35.40958934</v>
      </c>
      <c r="AP17" s="45">
        <f>AO18*'BP input data'!$B$26</f>
        <v>37.01193516</v>
      </c>
      <c r="AQ17" s="45">
        <f>AP18*'BP input data'!$B$26</f>
        <v>38.58977789</v>
      </c>
      <c r="AR17" s="45">
        <f>AQ18*'BP input data'!$B$26</f>
        <v>40.14344654</v>
      </c>
      <c r="AS17" s="45">
        <f>AR18*'BP input data'!$B$26</f>
        <v>41.67326596</v>
      </c>
      <c r="AT17" s="45">
        <f>AS18*'BP input data'!$B$26</f>
        <v>43.17955695</v>
      </c>
      <c r="AU17" s="45">
        <f>AT18*'BP input data'!$B$26</f>
        <v>44.66263628</v>
      </c>
      <c r="AV17" s="45">
        <f>AU18*'BP input data'!$B$26</f>
        <v>46.12281674</v>
      </c>
      <c r="AW17" s="45">
        <f>AV18*'BP input data'!$B$26</f>
        <v>47.56040722</v>
      </c>
      <c r="AX17" s="45">
        <f>AW18*'BP input data'!$B$26</f>
        <v>48.9757127</v>
      </c>
      <c r="AY17" s="45">
        <f>AX18*'BP input data'!$B$26</f>
        <v>50.36903433</v>
      </c>
      <c r="AZ17" s="45">
        <f>AY18*'BP input data'!$B$26</f>
        <v>51.7406695</v>
      </c>
      <c r="BA17" s="45">
        <f>AZ18*'BP input data'!$B$26</f>
        <v>53.09091182</v>
      </c>
      <c r="BB17" s="45">
        <f>BA18*'BP input data'!$B$26</f>
        <v>54.42005123</v>
      </c>
      <c r="BC17" s="45">
        <f>BB18*'BP input data'!$B$26</f>
        <v>55.72837402</v>
      </c>
      <c r="BD17" s="45">
        <f>BC18*'BP input data'!$B$26</f>
        <v>57.01616285</v>
      </c>
      <c r="BE17" s="45">
        <f>BD18*'BP input data'!$B$26</f>
        <v>58.28369683</v>
      </c>
      <c r="BF17" s="45">
        <f>BE18*'BP input data'!$B$26</f>
        <v>59.53125157</v>
      </c>
      <c r="BG17" s="45">
        <f>BF18*'BP input data'!$B$26</f>
        <v>60.75909915</v>
      </c>
      <c r="BH17" s="45">
        <f>BG18*'BP input data'!$B$26</f>
        <v>61.96750825</v>
      </c>
      <c r="BI17" s="45">
        <f>BH18*'BP input data'!$B$26</f>
        <v>63.15674416</v>
      </c>
      <c r="BJ17" s="45">
        <f>BI18*'BP input data'!$B$26</f>
        <v>64.32706878</v>
      </c>
    </row>
    <row r="18">
      <c r="A18" s="50" t="s">
        <v>74</v>
      </c>
      <c r="B18" s="51"/>
      <c r="C18" s="52">
        <f>C6+C11</f>
        <v>0.625</v>
      </c>
      <c r="D18" s="52">
        <f t="shared" ref="D18:BJ18" si="2">C18+D6+D11-D17</f>
        <v>16.39226485</v>
      </c>
      <c r="E18" s="52">
        <f t="shared" si="2"/>
        <v>32.18566256</v>
      </c>
      <c r="F18" s="52">
        <f t="shared" si="2"/>
        <v>48.04860836</v>
      </c>
      <c r="G18" s="52">
        <f t="shared" si="2"/>
        <v>64.03446192</v>
      </c>
      <c r="H18" s="52">
        <f t="shared" si="2"/>
        <v>80.20889408</v>
      </c>
      <c r="I18" s="52">
        <f t="shared" si="2"/>
        <v>96.652816</v>
      </c>
      <c r="J18" s="52">
        <f t="shared" si="2"/>
        <v>113.4660043</v>
      </c>
      <c r="K18" s="52">
        <f t="shared" si="2"/>
        <v>130.7715873</v>
      </c>
      <c r="L18" s="52">
        <f t="shared" si="2"/>
        <v>148.721598</v>
      </c>
      <c r="M18" s="52">
        <f t="shared" si="2"/>
        <v>162.5038457</v>
      </c>
      <c r="N18" s="52">
        <f t="shared" si="2"/>
        <v>177.4004206</v>
      </c>
      <c r="O18" s="52">
        <f t="shared" si="2"/>
        <v>193.6977201</v>
      </c>
      <c r="P18" s="52">
        <f t="shared" si="2"/>
        <v>251.7499801</v>
      </c>
      <c r="Q18" s="52">
        <f t="shared" si="2"/>
        <v>311.5953977</v>
      </c>
      <c r="R18" s="52">
        <f t="shared" si="2"/>
        <v>373.780084</v>
      </c>
      <c r="S18" s="52">
        <f t="shared" si="2"/>
        <v>438.9787192</v>
      </c>
      <c r="T18" s="52">
        <f t="shared" si="2"/>
        <v>508.0251152</v>
      </c>
      <c r="U18" s="52">
        <f t="shared" si="2"/>
        <v>581.9500412</v>
      </c>
      <c r="V18" s="52">
        <f t="shared" si="2"/>
        <v>662.0280374</v>
      </c>
      <c r="W18" s="52">
        <f t="shared" si="2"/>
        <v>749.8353518</v>
      </c>
      <c r="X18" s="52">
        <f t="shared" si="2"/>
        <v>847.3216452</v>
      </c>
      <c r="Y18" s="52">
        <f t="shared" si="2"/>
        <v>956.8987345</v>
      </c>
      <c r="Z18" s="52">
        <f t="shared" si="2"/>
        <v>1081.550422</v>
      </c>
      <c r="AA18" s="52">
        <f t="shared" si="2"/>
        <v>1219.180684</v>
      </c>
      <c r="AB18" s="52">
        <f t="shared" si="2"/>
        <v>1414.459933</v>
      </c>
      <c r="AC18" s="52">
        <f t="shared" si="2"/>
        <v>1606.821329</v>
      </c>
      <c r="AD18" s="52">
        <f t="shared" si="2"/>
        <v>1796.303606</v>
      </c>
      <c r="AE18" s="52">
        <f t="shared" si="2"/>
        <v>1982.945016</v>
      </c>
      <c r="AF18" s="52">
        <f t="shared" si="2"/>
        <v>2166.783334</v>
      </c>
      <c r="AG18" s="52">
        <f t="shared" si="2"/>
        <v>2347.855866</v>
      </c>
      <c r="AH18" s="52">
        <f t="shared" si="2"/>
        <v>2526.19945</v>
      </c>
      <c r="AI18" s="52">
        <f t="shared" si="2"/>
        <v>2701.850469</v>
      </c>
      <c r="AJ18" s="52">
        <f t="shared" si="2"/>
        <v>2874.844849</v>
      </c>
      <c r="AK18" s="52">
        <f t="shared" si="2"/>
        <v>3045.218068</v>
      </c>
      <c r="AL18" s="52">
        <f t="shared" si="2"/>
        <v>3213.005162</v>
      </c>
      <c r="AM18" s="52">
        <f t="shared" si="2"/>
        <v>3378.240729</v>
      </c>
      <c r="AN18" s="52">
        <f t="shared" si="2"/>
        <v>3540.958934</v>
      </c>
      <c r="AO18" s="52">
        <f t="shared" si="2"/>
        <v>3701.193516</v>
      </c>
      <c r="AP18" s="52">
        <f t="shared" si="2"/>
        <v>3858.977789</v>
      </c>
      <c r="AQ18" s="52">
        <f t="shared" si="2"/>
        <v>4014.344654</v>
      </c>
      <c r="AR18" s="52">
        <f t="shared" si="2"/>
        <v>4167.326596</v>
      </c>
      <c r="AS18" s="52">
        <f t="shared" si="2"/>
        <v>4317.955695</v>
      </c>
      <c r="AT18" s="52">
        <f t="shared" si="2"/>
        <v>4466.263628</v>
      </c>
      <c r="AU18" s="52">
        <f t="shared" si="2"/>
        <v>4612.281674</v>
      </c>
      <c r="AV18" s="52">
        <f t="shared" si="2"/>
        <v>4756.040722</v>
      </c>
      <c r="AW18" s="52">
        <f t="shared" si="2"/>
        <v>4897.57127</v>
      </c>
      <c r="AX18" s="52">
        <f t="shared" si="2"/>
        <v>5036.903433</v>
      </c>
      <c r="AY18" s="52">
        <f t="shared" si="2"/>
        <v>5174.06695</v>
      </c>
      <c r="AZ18" s="52">
        <f t="shared" si="2"/>
        <v>5309.091182</v>
      </c>
      <c r="BA18" s="52">
        <f t="shared" si="2"/>
        <v>5442.005123</v>
      </c>
      <c r="BB18" s="52">
        <f t="shared" si="2"/>
        <v>5572.837402</v>
      </c>
      <c r="BC18" s="52">
        <f t="shared" si="2"/>
        <v>5701.616285</v>
      </c>
      <c r="BD18" s="52">
        <f t="shared" si="2"/>
        <v>5828.369683</v>
      </c>
      <c r="BE18" s="52">
        <f t="shared" si="2"/>
        <v>5953.125157</v>
      </c>
      <c r="BF18" s="52">
        <f t="shared" si="2"/>
        <v>6075.909915</v>
      </c>
      <c r="BG18" s="52">
        <f t="shared" si="2"/>
        <v>6196.750825</v>
      </c>
      <c r="BH18" s="52">
        <f t="shared" si="2"/>
        <v>6315.674416</v>
      </c>
      <c r="BI18" s="52">
        <f t="shared" si="2"/>
        <v>6432.706878</v>
      </c>
      <c r="BJ18" s="52">
        <f t="shared" si="2"/>
        <v>6547.874074</v>
      </c>
    </row>
    <row r="19">
      <c r="A19" s="50" t="s">
        <v>75</v>
      </c>
      <c r="B19" s="51"/>
      <c r="C19" s="52"/>
      <c r="D19" s="45">
        <f>C20*'BP input data'!$B$27</f>
        <v>0.002083333333</v>
      </c>
      <c r="E19" s="45">
        <f>D20*'BP input data'!$B$27</f>
        <v>0.02043100248</v>
      </c>
      <c r="F19" s="45">
        <f>E20*'BP input data'!$B$27</f>
        <v>0.04095591017</v>
      </c>
      <c r="G19" s="45">
        <f>F20*'BP input data'!$B$27</f>
        <v>0.1110269157</v>
      </c>
      <c r="H19" s="45">
        <f>G20*'BP input data'!$B$27</f>
        <v>0.1804973109</v>
      </c>
      <c r="I19" s="45">
        <f>H20*'BP input data'!$B$27</f>
        <v>0.2493725767</v>
      </c>
      <c r="J19" s="45">
        <f>I20*'BP input data'!$B$27</f>
        <v>0.3241347028</v>
      </c>
      <c r="K19" s="45">
        <f>J20*'BP input data'!$B$27</f>
        <v>0.3982159986</v>
      </c>
      <c r="L19" s="45">
        <f>K20*'BP input data'!$B$27</f>
        <v>0.471622908</v>
      </c>
      <c r="M19" s="45">
        <f>L20*'BP input data'!$B$27</f>
        <v>0.5443618127</v>
      </c>
      <c r="N19" s="45">
        <f>M20*'BP input data'!$B$27</f>
        <v>0.6164390325</v>
      </c>
      <c r="O19" s="45">
        <f>N20*'BP input data'!$B$27</f>
        <v>0.6856200171</v>
      </c>
      <c r="P19" s="45">
        <f>O20*'BP input data'!$B$27</f>
        <v>0.7652539853</v>
      </c>
      <c r="Q19" s="45">
        <f>P20*'BP input data'!$B$27</f>
        <v>0.8439644166</v>
      </c>
      <c r="R19" s="45">
        <f>Q20*'BP input data'!$B$27</f>
        <v>0.9217611304</v>
      </c>
      <c r="S19" s="45">
        <f>R20*'BP input data'!$B$27</f>
        <v>1.118653845</v>
      </c>
      <c r="T19" s="45">
        <f>S20*'BP input data'!$B$27</f>
        <v>1.314052181</v>
      </c>
      <c r="U19" s="45">
        <f>T20*'BP input data'!$B$27</f>
        <v>1.507968657</v>
      </c>
      <c r="V19" s="45">
        <f>U20*'BP input data'!$B$27</f>
        <v>1.700415682</v>
      </c>
      <c r="W19" s="45">
        <f>V20*'BP input data'!$B$27</f>
        <v>1.891405553</v>
      </c>
      <c r="X19" s="45">
        <f>W20*'BP input data'!$B$27</f>
        <v>2.080950455</v>
      </c>
      <c r="Y19" s="45">
        <f>X20*'BP input data'!$B$27</f>
        <v>2.269062465</v>
      </c>
      <c r="Z19" s="45">
        <f>Y20*'BP input data'!$B$27</f>
        <v>2.455753551</v>
      </c>
      <c r="AA19" s="45">
        <f>Z20*'BP input data'!$B$27</f>
        <v>2.641035573</v>
      </c>
      <c r="AB19" s="45">
        <f>AA20*'BP input data'!$B$27</f>
        <v>2.848547271</v>
      </c>
      <c r="AC19" s="45">
        <f>AB20*'BP input data'!$B$27</f>
        <v>3.054321243</v>
      </c>
      <c r="AD19" s="45">
        <f>AC20*'BP input data'!$B$27</f>
        <v>3.25837311</v>
      </c>
      <c r="AE19" s="45">
        <f>AD20*'BP input data'!$B$27</f>
        <v>3.640718347</v>
      </c>
      <c r="AF19" s="45">
        <f>AE20*'BP input data'!$B$27</f>
        <v>4.020472282</v>
      </c>
      <c r="AG19" s="45">
        <f>AF20*'BP input data'!$B$27</f>
        <v>4.397654601</v>
      </c>
      <c r="AH19" s="45">
        <f>AG20*'BP input data'!$B$27</f>
        <v>4.772284823</v>
      </c>
      <c r="AI19" s="45">
        <f>AH20*'BP input data'!$B$27</f>
        <v>5.144382305</v>
      </c>
      <c r="AJ19" s="45">
        <f>AI20*'BP input data'!$B$27</f>
        <v>5.513966241</v>
      </c>
      <c r="AK19" s="45">
        <f>AJ20*'BP input data'!$B$27</f>
        <v>5.881055665</v>
      </c>
      <c r="AL19" s="45">
        <f>AK20*'BP input data'!$B$27</f>
        <v>6.245669452</v>
      </c>
      <c r="AM19" s="45">
        <f>AL20*'BP input data'!$B$27</f>
        <v>6.607826317</v>
      </c>
      <c r="AN19" s="45">
        <f>AM20*'BP input data'!$B$27</f>
        <v>6.967544821</v>
      </c>
      <c r="AO19" s="45">
        <f>AN20*'BP input data'!$B$27</f>
        <v>7.324843371</v>
      </c>
      <c r="AP19" s="45">
        <f>AO20*'BP input data'!$B$27</f>
        <v>7.679740217</v>
      </c>
      <c r="AQ19" s="45">
        <f>AP20*'BP input data'!$B$27</f>
        <v>8.032253459</v>
      </c>
      <c r="AR19" s="45">
        <f>AQ20*'BP input data'!$B$27</f>
        <v>8.382401046</v>
      </c>
      <c r="AS19" s="45">
        <f>AR20*'BP input data'!$B$27</f>
        <v>8.730200778</v>
      </c>
      <c r="AT19" s="45">
        <f>AS20*'BP input data'!$B$27</f>
        <v>9.075670307</v>
      </c>
      <c r="AU19" s="45">
        <f>AT20*'BP input data'!$B$27</f>
        <v>9.418827135</v>
      </c>
      <c r="AV19" s="45">
        <f>AU20*'BP input data'!$B$27</f>
        <v>9.759688624</v>
      </c>
      <c r="AW19" s="45">
        <f>AV20*'BP input data'!$B$27</f>
        <v>10.09827199</v>
      </c>
      <c r="AX19" s="45">
        <f>AW20*'BP input data'!$B$27</f>
        <v>10.4345943</v>
      </c>
      <c r="AY19" s="45">
        <f>AX20*'BP input data'!$B$27</f>
        <v>10.76867248</v>
      </c>
      <c r="AZ19" s="45">
        <f>AY20*'BP input data'!$B$27</f>
        <v>11.10052334</v>
      </c>
      <c r="BA19" s="45">
        <f>AZ20*'BP input data'!$B$27</f>
        <v>11.43016351</v>
      </c>
      <c r="BB19" s="45">
        <f>BA20*'BP input data'!$B$27</f>
        <v>11.75760951</v>
      </c>
      <c r="BC19" s="45">
        <f>BB20*'BP input data'!$B$27</f>
        <v>12.08287772</v>
      </c>
      <c r="BD19" s="45">
        <f>BC20*'BP input data'!$B$27</f>
        <v>12.40598438</v>
      </c>
      <c r="BE19" s="45">
        <f>BD20*'BP input data'!$B$27</f>
        <v>12.72694559</v>
      </c>
      <c r="BF19" s="45">
        <f>BE20*'BP input data'!$B$27</f>
        <v>13.04577733</v>
      </c>
      <c r="BG19" s="45">
        <f>BF20*'BP input data'!$B$27</f>
        <v>13.36249544</v>
      </c>
      <c r="BH19" s="45">
        <f>BG20*'BP input data'!$B$27</f>
        <v>13.67711564</v>
      </c>
      <c r="BI19" s="45">
        <f>BH20*'BP input data'!$B$27</f>
        <v>13.9896535</v>
      </c>
      <c r="BJ19" s="45">
        <f>BI20*'BP input data'!$B$27</f>
        <v>14.30012448</v>
      </c>
    </row>
    <row r="20">
      <c r="A20" s="50" t="s">
        <v>76</v>
      </c>
      <c r="B20" s="51"/>
      <c r="C20" s="52">
        <f>C7+C13</f>
        <v>0.4166666667</v>
      </c>
      <c r="D20" s="52">
        <f t="shared" ref="D20:BJ20" si="3">C20+D7+D13-D19</f>
        <v>4.086200495</v>
      </c>
      <c r="E20" s="52">
        <f t="shared" si="3"/>
        <v>8.191182034</v>
      </c>
      <c r="F20" s="52">
        <f t="shared" si="3"/>
        <v>22.20538314</v>
      </c>
      <c r="G20" s="52">
        <f t="shared" si="3"/>
        <v>36.09946219</v>
      </c>
      <c r="H20" s="52">
        <f t="shared" si="3"/>
        <v>49.87451533</v>
      </c>
      <c r="I20" s="52">
        <f t="shared" si="3"/>
        <v>64.82694056</v>
      </c>
      <c r="J20" s="52">
        <f t="shared" si="3"/>
        <v>79.64319971</v>
      </c>
      <c r="K20" s="52">
        <f t="shared" si="3"/>
        <v>94.3245816</v>
      </c>
      <c r="L20" s="52">
        <f t="shared" si="3"/>
        <v>108.8723625</v>
      </c>
      <c r="M20" s="52">
        <f t="shared" si="3"/>
        <v>123.2878065</v>
      </c>
      <c r="N20" s="52">
        <f t="shared" si="3"/>
        <v>137.1240034</v>
      </c>
      <c r="O20" s="52">
        <f t="shared" si="3"/>
        <v>153.0507971</v>
      </c>
      <c r="P20" s="52">
        <f t="shared" si="3"/>
        <v>168.7928833</v>
      </c>
      <c r="Q20" s="52">
        <f t="shared" si="3"/>
        <v>184.3522261</v>
      </c>
      <c r="R20" s="52">
        <f t="shared" si="3"/>
        <v>223.7307691</v>
      </c>
      <c r="S20" s="52">
        <f t="shared" si="3"/>
        <v>262.8104362</v>
      </c>
      <c r="T20" s="52">
        <f t="shared" si="3"/>
        <v>301.5937314</v>
      </c>
      <c r="U20" s="52">
        <f t="shared" si="3"/>
        <v>340.0831365</v>
      </c>
      <c r="V20" s="52">
        <f t="shared" si="3"/>
        <v>378.2811106</v>
      </c>
      <c r="W20" s="52">
        <f t="shared" si="3"/>
        <v>416.190091</v>
      </c>
      <c r="X20" s="52">
        <f t="shared" si="3"/>
        <v>453.812493</v>
      </c>
      <c r="Y20" s="52">
        <f t="shared" si="3"/>
        <v>491.1507102</v>
      </c>
      <c r="Z20" s="52">
        <f t="shared" si="3"/>
        <v>528.2071147</v>
      </c>
      <c r="AA20" s="52">
        <f t="shared" si="3"/>
        <v>569.7094542</v>
      </c>
      <c r="AB20" s="52">
        <f t="shared" si="3"/>
        <v>610.8642485</v>
      </c>
      <c r="AC20" s="52">
        <f t="shared" si="3"/>
        <v>651.6746219</v>
      </c>
      <c r="AD20" s="52">
        <f t="shared" si="3"/>
        <v>728.1436693</v>
      </c>
      <c r="AE20" s="52">
        <f t="shared" si="3"/>
        <v>804.0944564</v>
      </c>
      <c r="AF20" s="52">
        <f t="shared" si="3"/>
        <v>879.5309201</v>
      </c>
      <c r="AG20" s="52">
        <f t="shared" si="3"/>
        <v>954.4569646</v>
      </c>
      <c r="AH20" s="52">
        <f t="shared" si="3"/>
        <v>1028.876461</v>
      </c>
      <c r="AI20" s="52">
        <f t="shared" si="3"/>
        <v>1102.793248</v>
      </c>
      <c r="AJ20" s="52">
        <f t="shared" si="3"/>
        <v>1176.211133</v>
      </c>
      <c r="AK20" s="52">
        <f t="shared" si="3"/>
        <v>1249.13389</v>
      </c>
      <c r="AL20" s="52">
        <f t="shared" si="3"/>
        <v>1321.565263</v>
      </c>
      <c r="AM20" s="52">
        <f t="shared" si="3"/>
        <v>1393.508964</v>
      </c>
      <c r="AN20" s="52">
        <f t="shared" si="3"/>
        <v>1464.968674</v>
      </c>
      <c r="AO20" s="52">
        <f t="shared" si="3"/>
        <v>1535.948043</v>
      </c>
      <c r="AP20" s="52">
        <f t="shared" si="3"/>
        <v>1606.450692</v>
      </c>
      <c r="AQ20" s="52">
        <f t="shared" si="3"/>
        <v>1676.480209</v>
      </c>
      <c r="AR20" s="52">
        <f t="shared" si="3"/>
        <v>1746.040156</v>
      </c>
      <c r="AS20" s="52">
        <f t="shared" si="3"/>
        <v>1815.134061</v>
      </c>
      <c r="AT20" s="52">
        <f t="shared" si="3"/>
        <v>1883.765427</v>
      </c>
      <c r="AU20" s="52">
        <f t="shared" si="3"/>
        <v>1951.937725</v>
      </c>
      <c r="AV20" s="52">
        <f t="shared" si="3"/>
        <v>2019.654397</v>
      </c>
      <c r="AW20" s="52">
        <f t="shared" si="3"/>
        <v>2086.918859</v>
      </c>
      <c r="AX20" s="52">
        <f t="shared" si="3"/>
        <v>2153.734496</v>
      </c>
      <c r="AY20" s="52">
        <f t="shared" si="3"/>
        <v>2220.104667</v>
      </c>
      <c r="AZ20" s="52">
        <f t="shared" si="3"/>
        <v>2286.032701</v>
      </c>
      <c r="BA20" s="52">
        <f t="shared" si="3"/>
        <v>2351.521902</v>
      </c>
      <c r="BB20" s="52">
        <f t="shared" si="3"/>
        <v>2416.575544</v>
      </c>
      <c r="BC20" s="52">
        <f t="shared" si="3"/>
        <v>2481.196875</v>
      </c>
      <c r="BD20" s="52">
        <f t="shared" si="3"/>
        <v>2545.389118</v>
      </c>
      <c r="BE20" s="52">
        <f t="shared" si="3"/>
        <v>2609.155466</v>
      </c>
      <c r="BF20" s="52">
        <f t="shared" si="3"/>
        <v>2672.499089</v>
      </c>
      <c r="BG20" s="52">
        <f t="shared" si="3"/>
        <v>2735.423128</v>
      </c>
      <c r="BH20" s="52">
        <f t="shared" si="3"/>
        <v>2797.9307</v>
      </c>
      <c r="BI20" s="52">
        <f t="shared" si="3"/>
        <v>2860.024896</v>
      </c>
      <c r="BJ20" s="52">
        <f t="shared" si="3"/>
        <v>2921.708781</v>
      </c>
    </row>
    <row r="21">
      <c r="A21" s="50" t="s">
        <v>77</v>
      </c>
      <c r="B21" s="51"/>
      <c r="C21" s="52"/>
      <c r="D21" s="45">
        <f>C22*'BP input data'!$B$28</f>
        <v>0.006666666667</v>
      </c>
      <c r="E21" s="45">
        <f>D22*'BP input data'!$B$28</f>
        <v>0.01490082508</v>
      </c>
      <c r="F21" s="45">
        <f>E22*'BP input data'!$B$28</f>
        <v>0.0250749902</v>
      </c>
      <c r="G21" s="45">
        <f>F22*'BP input data'!$B$28</f>
        <v>0.03765019528</v>
      </c>
      <c r="H21" s="45">
        <f>G22*'BP input data'!$B$28</f>
        <v>0.05319702592</v>
      </c>
      <c r="I21" s="45">
        <f>H22*'BP input data'!$B$28</f>
        <v>0.07242165232</v>
      </c>
      <c r="J21" s="45">
        <f>I22*'BP input data'!$B$28</f>
        <v>0.09619804741</v>
      </c>
      <c r="K21" s="45">
        <f>J22*'BP input data'!$B$28</f>
        <v>0.1256078607</v>
      </c>
      <c r="L21" s="45">
        <f>K22*'BP input data'!$B$28</f>
        <v>0.1619897674</v>
      </c>
      <c r="M21" s="45">
        <f>L22*'BP input data'!$B$28</f>
        <v>0.2145005433</v>
      </c>
      <c r="N21" s="45">
        <f>M22*'BP input data'!$B$28</f>
        <v>0.2776719038</v>
      </c>
      <c r="O21" s="45">
        <f>N22*'BP input data'!$B$28</f>
        <v>0.3540416</v>
      </c>
      <c r="P21" s="45">
        <f>O22*'BP input data'!$B$28</f>
        <v>0.446750402</v>
      </c>
      <c r="Q21" s="45">
        <f>P22*'BP input data'!$B$28</f>
        <v>0.5596853898</v>
      </c>
      <c r="R21" s="45">
        <f>Q22*'BP input data'!$B$28</f>
        <v>0.697657295</v>
      </c>
      <c r="S21" s="45">
        <f>R22*'BP input data'!$B$28</f>
        <v>0.8666199817</v>
      </c>
      <c r="T21" s="45">
        <f>S22*'BP input data'!$B$28</f>
        <v>1.073942083</v>
      </c>
      <c r="U21" s="45">
        <f>T22*'BP input data'!$B$28</f>
        <v>1.328743182</v>
      </c>
      <c r="V21" s="45">
        <f>U22*'BP input data'!$B$28</f>
        <v>1.639809881</v>
      </c>
      <c r="W21" s="45">
        <f>V22*'BP input data'!$B$28</f>
        <v>2.023616986</v>
      </c>
      <c r="X21" s="45">
        <f>W22*'BP input data'!$B$28</f>
        <v>2.497452288</v>
      </c>
      <c r="Y21" s="45">
        <f>X22*'BP input data'!$B$28</f>
        <v>3.102711558</v>
      </c>
      <c r="Z21" s="45">
        <f>Y22*'BP input data'!$B$28</f>
        <v>3.845824706</v>
      </c>
      <c r="AA21" s="45">
        <f>Z22*'BP input data'!$B$28</f>
        <v>4.759564015</v>
      </c>
      <c r="AB21" s="45">
        <f>AA22*'BP input data'!$B$28</f>
        <v>5.822753275</v>
      </c>
      <c r="AC21" s="45">
        <f>AB22*'BP input data'!$B$28</f>
        <v>6.872887649</v>
      </c>
      <c r="AD21" s="45">
        <f>AC22*'BP input data'!$B$28</f>
        <v>7.910102714</v>
      </c>
      <c r="AE21" s="45">
        <f>AD22*'BP input data'!$B$28</f>
        <v>8.934532689</v>
      </c>
      <c r="AF21" s="45">
        <f>AE22*'BP input data'!$B$28</f>
        <v>9.946310449</v>
      </c>
      <c r="AG21" s="45">
        <f>AF22*'BP input data'!$B$28</f>
        <v>10.94556754</v>
      </c>
      <c r="AH21" s="45">
        <f>AG22*'BP input data'!$B$28</f>
        <v>11.93243417</v>
      </c>
      <c r="AI21" s="45">
        <f>AH22*'BP input data'!$B$28</f>
        <v>12.90703928</v>
      </c>
      <c r="AJ21" s="45">
        <f>AI22*'BP input data'!$B$28</f>
        <v>13.86951049</v>
      </c>
      <c r="AK21" s="45">
        <f>AJ22*'BP input data'!$B$28</f>
        <v>14.84997415</v>
      </c>
      <c r="AL21" s="45">
        <f>AK22*'BP input data'!$B$28</f>
        <v>15.81848033</v>
      </c>
      <c r="AM21" s="45">
        <f>AL22*'BP input data'!$B$28</f>
        <v>16.77515307</v>
      </c>
      <c r="AN21" s="45">
        <f>AM22*'BP input data'!$B$28</f>
        <v>17.72011512</v>
      </c>
      <c r="AO21" s="45">
        <f>AN22*'BP input data'!$B$28</f>
        <v>18.65348803</v>
      </c>
      <c r="AP21" s="45">
        <f>AO22*'BP input data'!$B$28</f>
        <v>19.57539213</v>
      </c>
      <c r="AQ21" s="45">
        <f>AP22*'BP input data'!$B$28</f>
        <v>20.48594655</v>
      </c>
      <c r="AR21" s="45">
        <f>AQ22*'BP input data'!$B$28</f>
        <v>21.3852692</v>
      </c>
      <c r="AS21" s="45">
        <f>AR22*'BP input data'!$B$28</f>
        <v>22.27347683</v>
      </c>
      <c r="AT21" s="45">
        <f>AS22*'BP input data'!$B$28</f>
        <v>23.15068503</v>
      </c>
      <c r="AU21" s="45">
        <f>AT22*'BP input data'!$B$28</f>
        <v>24.01700821</v>
      </c>
      <c r="AV21" s="45">
        <f>AU22*'BP input data'!$B$28</f>
        <v>24.87255965</v>
      </c>
      <c r="AW21" s="45">
        <f>AV22*'BP input data'!$B$28</f>
        <v>25.71745147</v>
      </c>
      <c r="AX21" s="45">
        <f>AW22*'BP input data'!$B$28</f>
        <v>26.55179469</v>
      </c>
      <c r="AY21" s="45">
        <f>AX22*'BP input data'!$B$28</f>
        <v>27.37569922</v>
      </c>
      <c r="AZ21" s="45">
        <f>AY22*'BP input data'!$B$28</f>
        <v>28.18927384</v>
      </c>
      <c r="BA21" s="45">
        <f>AZ22*'BP input data'!$B$28</f>
        <v>28.99262628</v>
      </c>
      <c r="BB21" s="45">
        <f>BA22*'BP input data'!$B$28</f>
        <v>29.78586314</v>
      </c>
      <c r="BC21" s="45">
        <f>BB22*'BP input data'!$B$28</f>
        <v>30.56909</v>
      </c>
      <c r="BD21" s="45">
        <f>BC22*'BP input data'!$B$28</f>
        <v>31.34241135</v>
      </c>
      <c r="BE21" s="45">
        <f>BD22*'BP input data'!$B$28</f>
        <v>32.10593065</v>
      </c>
      <c r="BF21" s="45">
        <f>BE22*'BP input data'!$B$28</f>
        <v>32.8597503</v>
      </c>
      <c r="BG21" s="45">
        <f>BF22*'BP input data'!$B$28</f>
        <v>33.6039717</v>
      </c>
      <c r="BH21" s="45">
        <f>BG22*'BP input data'!$B$28</f>
        <v>34.3386952</v>
      </c>
      <c r="BI21" s="45">
        <f>BH22*'BP input data'!$B$28</f>
        <v>35.06402019</v>
      </c>
      <c r="BJ21" s="45">
        <f>BI22*'BP input data'!$B$28</f>
        <v>35.78004501</v>
      </c>
    </row>
    <row r="22">
      <c r="A22" s="50" t="s">
        <v>78</v>
      </c>
      <c r="B22" s="51"/>
      <c r="C22" s="52">
        <f>C8+C15</f>
        <v>2.666666667</v>
      </c>
      <c r="D22" s="52">
        <f t="shared" ref="D22:BJ22" si="4">C22+D8+D15-D21</f>
        <v>5.960330033</v>
      </c>
      <c r="E22" s="52">
        <f t="shared" si="4"/>
        <v>10.02999608</v>
      </c>
      <c r="F22" s="52">
        <f t="shared" si="4"/>
        <v>15.06007811</v>
      </c>
      <c r="G22" s="52">
        <f t="shared" si="4"/>
        <v>21.27881037</v>
      </c>
      <c r="H22" s="52">
        <f t="shared" si="4"/>
        <v>28.96866093</v>
      </c>
      <c r="I22" s="52">
        <f t="shared" si="4"/>
        <v>38.47921896</v>
      </c>
      <c r="J22" s="52">
        <f t="shared" si="4"/>
        <v>50.24314429</v>
      </c>
      <c r="K22" s="52">
        <f t="shared" si="4"/>
        <v>64.79590695</v>
      </c>
      <c r="L22" s="52">
        <f t="shared" si="4"/>
        <v>85.80021732</v>
      </c>
      <c r="M22" s="52">
        <f t="shared" si="4"/>
        <v>111.0687615</v>
      </c>
      <c r="N22" s="52">
        <f t="shared" si="4"/>
        <v>141.61664</v>
      </c>
      <c r="O22" s="52">
        <f t="shared" si="4"/>
        <v>178.7001608</v>
      </c>
      <c r="P22" s="52">
        <f t="shared" si="4"/>
        <v>223.8741559</v>
      </c>
      <c r="Q22" s="52">
        <f t="shared" si="4"/>
        <v>279.062918</v>
      </c>
      <c r="R22" s="52">
        <f t="shared" si="4"/>
        <v>346.6479927</v>
      </c>
      <c r="S22" s="52">
        <f t="shared" si="4"/>
        <v>429.576833</v>
      </c>
      <c r="T22" s="52">
        <f t="shared" si="4"/>
        <v>531.4972726</v>
      </c>
      <c r="U22" s="52">
        <f t="shared" si="4"/>
        <v>655.9239523</v>
      </c>
      <c r="V22" s="52">
        <f t="shared" si="4"/>
        <v>809.4467944</v>
      </c>
      <c r="W22" s="52">
        <f t="shared" si="4"/>
        <v>998.980915</v>
      </c>
      <c r="X22" s="52">
        <f t="shared" si="4"/>
        <v>1241.084623</v>
      </c>
      <c r="Y22" s="52">
        <f t="shared" si="4"/>
        <v>1538.329882</v>
      </c>
      <c r="Z22" s="52">
        <f t="shared" si="4"/>
        <v>1903.825606</v>
      </c>
      <c r="AA22" s="52">
        <f t="shared" si="4"/>
        <v>2329.10131</v>
      </c>
      <c r="AB22" s="52">
        <f t="shared" si="4"/>
        <v>2749.155059</v>
      </c>
      <c r="AC22" s="52">
        <f t="shared" si="4"/>
        <v>3164.041086</v>
      </c>
      <c r="AD22" s="52">
        <f t="shared" si="4"/>
        <v>3573.813076</v>
      </c>
      <c r="AE22" s="52">
        <f t="shared" si="4"/>
        <v>3978.52418</v>
      </c>
      <c r="AF22" s="52">
        <f t="shared" si="4"/>
        <v>4378.227014</v>
      </c>
      <c r="AG22" s="52">
        <f t="shared" si="4"/>
        <v>4772.973669</v>
      </c>
      <c r="AH22" s="52">
        <f t="shared" si="4"/>
        <v>5162.815713</v>
      </c>
      <c r="AI22" s="52">
        <f t="shared" si="4"/>
        <v>5547.804197</v>
      </c>
      <c r="AJ22" s="52">
        <f t="shared" si="4"/>
        <v>5939.989659</v>
      </c>
      <c r="AK22" s="52">
        <f t="shared" si="4"/>
        <v>6327.392134</v>
      </c>
      <c r="AL22" s="52">
        <f t="shared" si="4"/>
        <v>6710.061226</v>
      </c>
      <c r="AM22" s="52">
        <f t="shared" si="4"/>
        <v>7088.046046</v>
      </c>
      <c r="AN22" s="52">
        <f t="shared" si="4"/>
        <v>7461.395212</v>
      </c>
      <c r="AO22" s="52">
        <f t="shared" si="4"/>
        <v>7830.156853</v>
      </c>
      <c r="AP22" s="52">
        <f t="shared" si="4"/>
        <v>8194.378618</v>
      </c>
      <c r="AQ22" s="52">
        <f t="shared" si="4"/>
        <v>8554.107679</v>
      </c>
      <c r="AR22" s="52">
        <f t="shared" si="4"/>
        <v>8909.390734</v>
      </c>
      <c r="AS22" s="52">
        <f t="shared" si="4"/>
        <v>9260.274014</v>
      </c>
      <c r="AT22" s="52">
        <f t="shared" si="4"/>
        <v>9606.803286</v>
      </c>
      <c r="AU22" s="52">
        <f t="shared" si="4"/>
        <v>9949.023859</v>
      </c>
      <c r="AV22" s="52">
        <f t="shared" si="4"/>
        <v>10286.98059</v>
      </c>
      <c r="AW22" s="52">
        <f t="shared" si="4"/>
        <v>10620.71788</v>
      </c>
      <c r="AX22" s="52">
        <f t="shared" si="4"/>
        <v>10950.27969</v>
      </c>
      <c r="AY22" s="52">
        <f t="shared" si="4"/>
        <v>11275.70954</v>
      </c>
      <c r="AZ22" s="52">
        <f t="shared" si="4"/>
        <v>11597.05051</v>
      </c>
      <c r="BA22" s="52">
        <f t="shared" si="4"/>
        <v>11914.34526</v>
      </c>
      <c r="BB22" s="52">
        <f t="shared" si="4"/>
        <v>12227.636</v>
      </c>
      <c r="BC22" s="52">
        <f t="shared" si="4"/>
        <v>12536.96454</v>
      </c>
      <c r="BD22" s="52">
        <f t="shared" si="4"/>
        <v>12842.37226</v>
      </c>
      <c r="BE22" s="52">
        <f t="shared" si="4"/>
        <v>13143.90012</v>
      </c>
      <c r="BF22" s="52">
        <f t="shared" si="4"/>
        <v>13441.58868</v>
      </c>
      <c r="BG22" s="52">
        <f t="shared" si="4"/>
        <v>13735.47808</v>
      </c>
      <c r="BH22" s="52">
        <f t="shared" si="4"/>
        <v>14025.60807</v>
      </c>
      <c r="BI22" s="52">
        <f t="shared" si="4"/>
        <v>14312.018</v>
      </c>
      <c r="BJ22" s="52">
        <f t="shared" si="4"/>
        <v>14594.74682</v>
      </c>
    </row>
    <row r="23" hidden="1">
      <c r="A23" s="44" t="s">
        <v>79</v>
      </c>
      <c r="B23" s="42"/>
      <c r="C23" s="53">
        <f>((C18*'Business model'!$B$2*'BP input data'!$B$5)+(C18*'Business model'!$B$3*(1-'BP input data'!$B$5)/12))</f>
        <v>531.25</v>
      </c>
      <c r="D23" s="53">
        <f>((D18*'Business model'!$B$2*'BP input data'!$B$5)+(D18*'Business model'!$B$3*(1-'BP input data'!$B$5)/12))</f>
        <v>13933.42512</v>
      </c>
      <c r="E23" s="54">
        <f>((E18*'Business model'!$B$2*'BP input data'!$B$5)+(E18*'Business model'!$B$3*(1-'BP input data'!$B$5)/12))</f>
        <v>27357.81318</v>
      </c>
      <c r="F23" s="54">
        <f>((F18*'Business model'!$B$2*'BP input data'!$B$5)+(F18*'Business model'!$B$3*(1-'BP input data'!$B$5)/12))</f>
        <v>40841.31711</v>
      </c>
      <c r="G23" s="54">
        <f>((G18*'Business model'!$B$2*'BP input data'!$B$5)+(G18*'Business model'!$B$3*(1-'BP input data'!$B$5)/12))</f>
        <v>54429.29263</v>
      </c>
      <c r="H23" s="54">
        <f>((H18*'Business model'!$B$2*'BP input data'!$B$5)+(H18*'Business model'!$B$3*(1-'BP input data'!$B$5)/12))</f>
        <v>68177.55997</v>
      </c>
      <c r="I23" s="54">
        <f>((I18*'Business model'!$B$2*'BP input data'!$B$5)+(I18*'Business model'!$B$3*(1-'BP input data'!$B$5)/12))</f>
        <v>82154.8936</v>
      </c>
      <c r="J23" s="54">
        <f>((J18*'Business model'!$B$2*'BP input data'!$B$5)+(J18*'Business model'!$B$3*(1-'BP input data'!$B$5)/12))</f>
        <v>96446.10362</v>
      </c>
      <c r="K23" s="54">
        <f>((K18*'Business model'!$B$2*'BP input data'!$B$5)+(K18*'Business model'!$B$3*(1-'BP input data'!$B$5)/12))</f>
        <v>111155.8492</v>
      </c>
      <c r="L23" s="54">
        <f>((L18*'Business model'!$B$2*'BP input data'!$B$5)+(L18*'Business model'!$B$3*(1-'BP input data'!$B$5)/12))</f>
        <v>126413.3583</v>
      </c>
      <c r="M23" s="54">
        <f>((M18*'Business model'!$B$2*'BP input data'!$B$5)+(M18*'Business model'!$B$3*(1-'BP input data'!$B$5)/12))</f>
        <v>138128.2688</v>
      </c>
      <c r="N23" s="54">
        <f>((N18*'Business model'!$B$2*'BP input data'!$B$5)+(N18*'Business model'!$B$3*(1-'BP input data'!$B$5)/12))</f>
        <v>150790.3575</v>
      </c>
      <c r="O23" s="54">
        <f>((O18*'Business model'!$B$2*'BP input data'!$B$5)+(O18*'Business model'!$B$3*(1-'BP input data'!$B$5)/12))</f>
        <v>164643.062</v>
      </c>
      <c r="P23" s="54">
        <f>((P18*'Business model'!$B$2*'BP input data'!$B$5)+(P18*'Business model'!$B$3*(1-'BP input data'!$B$5)/12))</f>
        <v>213987.4831</v>
      </c>
      <c r="Q23" s="54">
        <f>((Q18*'Business model'!$B$2*'BP input data'!$B$5)+(Q18*'Business model'!$B$3*(1-'BP input data'!$B$5)/12))</f>
        <v>264856.088</v>
      </c>
      <c r="R23" s="54">
        <f>((R18*'Business model'!$B$2*'BP input data'!$B$5)+(R18*'Business model'!$B$3*(1-'BP input data'!$B$5)/12))</f>
        <v>317713.0714</v>
      </c>
      <c r="S23" s="54">
        <f>((S18*'Business model'!$B$2*'BP input data'!$B$5)+(S18*'Business model'!$B$3*(1-'BP input data'!$B$5)/12))</f>
        <v>373131.9113</v>
      </c>
      <c r="T23" s="54">
        <f>((T18*'Business model'!$B$2*'BP input data'!$B$5)+(T18*'Business model'!$B$3*(1-'BP input data'!$B$5)/12))</f>
        <v>431821.3479</v>
      </c>
      <c r="U23" s="54">
        <f>((U18*'Business model'!$B$2*'BP input data'!$B$5)+(U18*'Business model'!$B$3*(1-'BP input data'!$B$5)/12))</f>
        <v>494657.5351</v>
      </c>
      <c r="V23" s="54">
        <f>((V18*'Business model'!$B$2*'BP input data'!$B$5)+(V18*'Business model'!$B$3*(1-'BP input data'!$B$5)/12))</f>
        <v>562723.8318</v>
      </c>
      <c r="W23" s="54">
        <f>((W18*'Business model'!$B$2*'BP input data'!$B$5)+(W18*'Business model'!$B$3*(1-'BP input data'!$B$5)/12))</f>
        <v>637360.049</v>
      </c>
      <c r="X23" s="54">
        <f>((X18*'Business model'!$B$2*'BP input data'!$B$5)+(X18*'Business model'!$B$3*(1-'BP input data'!$B$5)/12))</f>
        <v>720223.3985</v>
      </c>
      <c r="Y23" s="54">
        <f>((Y18*'Business model'!$B$2*'BP input data'!$B$5)+(Y18*'Business model'!$B$3*(1-'BP input data'!$B$5)/12))</f>
        <v>813363.9243</v>
      </c>
      <c r="Z23" s="54">
        <f>((Z18*'Business model'!$B$2*'BP input data'!$B$5)+(Z18*'Business model'!$B$3*(1-'BP input data'!$B$5)/12))</f>
        <v>919317.8591</v>
      </c>
      <c r="AA23" s="54">
        <f>((AA18*'Business model'!$B$2*'BP input data'!$B$5)+(AA18*'Business model'!$B$3*(1-'BP input data'!$B$5)/12))</f>
        <v>1036303.582</v>
      </c>
      <c r="AB23" s="54">
        <f>((AB18*'Business model'!$B$2*'BP input data'!$B$5)+(AB18*'Business model'!$B$3*(1-'BP input data'!$B$5)/12))</f>
        <v>1202290.943</v>
      </c>
      <c r="AC23" s="54">
        <f>((AC18*'Business model'!$B$2*'BP input data'!$B$5)+(AC18*'Business model'!$B$3*(1-'BP input data'!$B$5)/12))</f>
        <v>1365798.129</v>
      </c>
      <c r="AD23" s="54">
        <f>((AD18*'Business model'!$B$2*'BP input data'!$B$5)+(AD18*'Business model'!$B$3*(1-'BP input data'!$B$5)/12))</f>
        <v>1526858.065</v>
      </c>
      <c r="AE23" s="54">
        <f>((AE18*'Business model'!$B$2*'BP input data'!$B$5)+(AE18*'Business model'!$B$3*(1-'BP input data'!$B$5)/12))</f>
        <v>1685503.264</v>
      </c>
      <c r="AF23" s="54">
        <f>((AF18*'Business model'!$B$2*'BP input data'!$B$5)+(AF18*'Business model'!$B$3*(1-'BP input data'!$B$5)/12))</f>
        <v>1841765.834</v>
      </c>
      <c r="AG23" s="54">
        <f>((AG18*'Business model'!$B$2*'BP input data'!$B$5)+(AG18*'Business model'!$B$3*(1-'BP input data'!$B$5)/12))</f>
        <v>1995677.486</v>
      </c>
      <c r="AH23" s="54">
        <f>((AH18*'Business model'!$B$2*'BP input data'!$B$5)+(AH18*'Business model'!$B$3*(1-'BP input data'!$B$5)/12))</f>
        <v>2147269.533</v>
      </c>
      <c r="AI23" s="54">
        <f>((AI18*'Business model'!$B$2*'BP input data'!$B$5)+(AI18*'Business model'!$B$3*(1-'BP input data'!$B$5)/12))</f>
        <v>2296572.899</v>
      </c>
      <c r="AJ23" s="54">
        <f>((AJ18*'Business model'!$B$2*'BP input data'!$B$5)+(AJ18*'Business model'!$B$3*(1-'BP input data'!$B$5)/12))</f>
        <v>2443618.121</v>
      </c>
      <c r="AK23" s="54">
        <f>((AK18*'Business model'!$B$2*'BP input data'!$B$5)+(AK18*'Business model'!$B$3*(1-'BP input data'!$B$5)/12))</f>
        <v>2588435.358</v>
      </c>
      <c r="AL23" s="54">
        <f>((AL18*'Business model'!$B$2*'BP input data'!$B$5)+(AL18*'Business model'!$B$3*(1-'BP input data'!$B$5)/12))</f>
        <v>2731054.388</v>
      </c>
      <c r="AM23" s="54">
        <f>((AM18*'Business model'!$B$2*'BP input data'!$B$5)+(AM18*'Business model'!$B$3*(1-'BP input data'!$B$5)/12))</f>
        <v>2871504.62</v>
      </c>
      <c r="AN23" s="54">
        <f>((AN18*'Business model'!$B$2*'BP input data'!$B$5)+(AN18*'Business model'!$B$3*(1-'BP input data'!$B$5)/12))</f>
        <v>3009815.094</v>
      </c>
      <c r="AO23" s="54">
        <f>((AO18*'Business model'!$B$2*'BP input data'!$B$5)+(AO18*'Business model'!$B$3*(1-'BP input data'!$B$5)/12))</f>
        <v>3146014.488</v>
      </c>
      <c r="AP23" s="54">
        <f>((AP18*'Business model'!$B$2*'BP input data'!$B$5)+(AP18*'Business model'!$B$3*(1-'BP input data'!$B$5)/12))</f>
        <v>3280131.121</v>
      </c>
      <c r="AQ23" s="54">
        <f>((AQ18*'Business model'!$B$2*'BP input data'!$B$5)+(AQ18*'Business model'!$B$3*(1-'BP input data'!$B$5)/12))</f>
        <v>3412192.956</v>
      </c>
      <c r="AR23" s="54">
        <f>((AR18*'Business model'!$B$2*'BP input data'!$B$5)+(AR18*'Business model'!$B$3*(1-'BP input data'!$B$5)/12))</f>
        <v>3542227.606</v>
      </c>
      <c r="AS23" s="54">
        <f>((AS18*'Business model'!$B$2*'BP input data'!$B$5)+(AS18*'Business model'!$B$3*(1-'BP input data'!$B$5)/12))</f>
        <v>3670262.34</v>
      </c>
      <c r="AT23" s="54">
        <f>((AT18*'Business model'!$B$2*'BP input data'!$B$5)+(AT18*'Business model'!$B$3*(1-'BP input data'!$B$5)/12))</f>
        <v>3796324.083</v>
      </c>
      <c r="AU23" s="54">
        <f>((AU18*'Business model'!$B$2*'BP input data'!$B$5)+(AU18*'Business model'!$B$3*(1-'BP input data'!$B$5)/12))</f>
        <v>3920439.423</v>
      </c>
      <c r="AV23" s="54">
        <f>((AV18*'Business model'!$B$2*'BP input data'!$B$5)+(AV18*'Business model'!$B$3*(1-'BP input data'!$B$5)/12))</f>
        <v>4042634.614</v>
      </c>
      <c r="AW23" s="54">
        <f>((AW18*'Business model'!$B$2*'BP input data'!$B$5)+(AW18*'Business model'!$B$3*(1-'BP input data'!$B$5)/12))</f>
        <v>4162935.579</v>
      </c>
      <c r="AX23" s="54">
        <f>((AX18*'Business model'!$B$2*'BP input data'!$B$5)+(AX18*'Business model'!$B$3*(1-'BP input data'!$B$5)/12))</f>
        <v>4281367.918</v>
      </c>
      <c r="AY23" s="54">
        <f>((AY18*'Business model'!$B$2*'BP input data'!$B$5)+(AY18*'Business model'!$B$3*(1-'BP input data'!$B$5)/12))</f>
        <v>4397956.907</v>
      </c>
      <c r="AZ23" s="54">
        <f>((AZ18*'Business model'!$B$2*'BP input data'!$B$5)+(AZ18*'Business model'!$B$3*(1-'BP input data'!$B$5)/12))</f>
        <v>4512727.504</v>
      </c>
      <c r="BA23" s="54">
        <f>((BA18*'Business model'!$B$2*'BP input data'!$B$5)+(BA18*'Business model'!$B$3*(1-'BP input data'!$B$5)/12))</f>
        <v>4625704.355</v>
      </c>
      <c r="BB23" s="54">
        <f>((BB18*'Business model'!$B$2*'BP input data'!$B$5)+(BB18*'Business model'!$B$3*(1-'BP input data'!$B$5)/12))</f>
        <v>4736911.791</v>
      </c>
      <c r="BC23" s="54">
        <f>((BC18*'Business model'!$B$2*'BP input data'!$B$5)+(BC18*'Business model'!$B$3*(1-'BP input data'!$B$5)/12))</f>
        <v>4846373.842</v>
      </c>
      <c r="BD23" s="54">
        <f>((BD18*'Business model'!$B$2*'BP input data'!$B$5)+(BD18*'Business model'!$B$3*(1-'BP input data'!$B$5)/12))</f>
        <v>4954114.231</v>
      </c>
      <c r="BE23" s="54">
        <f>((BE18*'Business model'!$B$2*'BP input data'!$B$5)+(BE18*'Business model'!$B$3*(1-'BP input data'!$B$5)/12))</f>
        <v>5060156.383</v>
      </c>
      <c r="BF23" s="54">
        <f>((BF18*'Business model'!$B$2*'BP input data'!$B$5)+(BF18*'Business model'!$B$3*(1-'BP input data'!$B$5)/12))</f>
        <v>5164523.428</v>
      </c>
      <c r="BG23" s="54">
        <f>((BG18*'Business model'!$B$2*'BP input data'!$B$5)+(BG18*'Business model'!$B$3*(1-'BP input data'!$B$5)/12))</f>
        <v>5267238.202</v>
      </c>
      <c r="BH23" s="54">
        <f>((BH18*'Business model'!$B$2*'BP input data'!$B$5)+(BH18*'Business model'!$B$3*(1-'BP input data'!$B$5)/12))</f>
        <v>5368323.253</v>
      </c>
      <c r="BI23" s="54">
        <f>((BI18*'Business model'!$B$2*'BP input data'!$B$5)+(BI18*'Business model'!$B$3*(1-'BP input data'!$B$5)/12))</f>
        <v>5467800.847</v>
      </c>
      <c r="BJ23" s="54">
        <f>((BJ18*'Business model'!$B$2*'BP input data'!$B$5)+(BJ18*'Business model'!$B$3*(1-'BP input data'!$B$5)/12))</f>
        <v>5565692.963</v>
      </c>
    </row>
    <row r="24" hidden="1">
      <c r="A24" s="44" t="s">
        <v>80</v>
      </c>
      <c r="B24" s="42"/>
      <c r="C24" s="16">
        <f>((C20*'Business model'!$B$4*'BP input data'!$B$5)+(C20*'Business model'!$B$5*(1-'BP input data'!$B$5)/12))</f>
        <v>1770.833333</v>
      </c>
      <c r="D24" s="16">
        <f>((D20*'Business model'!$B$4*'BP input data'!$B$5)+(D20*'Business model'!$B$5*(1-'BP input data'!$B$5)/12))</f>
        <v>17366.3521</v>
      </c>
      <c r="E24" s="54">
        <f>((E20*'Business model'!$B$4*'BP input data'!$B$5)+(E20*'Business model'!$B$5*(1-'BP input data'!$B$5)/12))</f>
        <v>34812.52364</v>
      </c>
      <c r="F24" s="54">
        <f>((F20*'Business model'!$B$4*'BP input data'!$B$5)+(F20*'Business model'!$B$5*(1-'BP input data'!$B$5)/12))</f>
        <v>94372.87836</v>
      </c>
      <c r="G24" s="54">
        <f>((G20*'Business model'!$B$4*'BP input data'!$B$5)+(G20*'Business model'!$B$5*(1-'BP input data'!$B$5)/12))</f>
        <v>153422.7143</v>
      </c>
      <c r="H24" s="54">
        <f>((H20*'Business model'!$B$4*'BP input data'!$B$5)+(H20*'Business model'!$B$5*(1-'BP input data'!$B$5)/12))</f>
        <v>211966.6902</v>
      </c>
      <c r="I24" s="54">
        <f>((I20*'Business model'!$B$4*'BP input data'!$B$5)+(I20*'Business model'!$B$5*(1-'BP input data'!$B$5)/12))</f>
        <v>275514.4974</v>
      </c>
      <c r="J24" s="54">
        <f>((J20*'Business model'!$B$4*'BP input data'!$B$5)+(J20*'Business model'!$B$5*(1-'BP input data'!$B$5)/12))</f>
        <v>338483.5988</v>
      </c>
      <c r="K24" s="54">
        <f>((K20*'Business model'!$B$4*'BP input data'!$B$5)+(K20*'Business model'!$B$5*(1-'BP input data'!$B$5)/12))</f>
        <v>400879.4718</v>
      </c>
      <c r="L24" s="54">
        <f>((L20*'Business model'!$B$4*'BP input data'!$B$5)+(L20*'Business model'!$B$5*(1-'BP input data'!$B$5)/12))</f>
        <v>462707.5408</v>
      </c>
      <c r="M24" s="54">
        <f>((M20*'Business model'!$B$4*'BP input data'!$B$5)+(M20*'Business model'!$B$5*(1-'BP input data'!$B$5)/12))</f>
        <v>523973.1776</v>
      </c>
      <c r="N24" s="54">
        <f>((N20*'Business model'!$B$4*'BP input data'!$B$5)+(N20*'Business model'!$B$5*(1-'BP input data'!$B$5)/12))</f>
        <v>582777.0145</v>
      </c>
      <c r="O24" s="54">
        <f>((O20*'Business model'!$B$4*'BP input data'!$B$5)+(O20*'Business model'!$B$5*(1-'BP input data'!$B$5)/12))</f>
        <v>650465.8875</v>
      </c>
      <c r="P24" s="54">
        <f>((P20*'Business model'!$B$4*'BP input data'!$B$5)+(P20*'Business model'!$B$5*(1-'BP input data'!$B$5)/12))</f>
        <v>717369.7541</v>
      </c>
      <c r="Q24" s="54">
        <f>((Q20*'Business model'!$B$4*'BP input data'!$B$5)+(Q20*'Business model'!$B$5*(1-'BP input data'!$B$5)/12))</f>
        <v>783496.9608</v>
      </c>
      <c r="R24" s="54">
        <f>((R20*'Business model'!$B$4*'BP input data'!$B$5)+(R20*'Business model'!$B$5*(1-'BP input data'!$B$5)/12))</f>
        <v>950855.7686</v>
      </c>
      <c r="S24" s="54">
        <f>((S20*'Business model'!$B$4*'BP input data'!$B$5)+(S20*'Business model'!$B$5*(1-'BP input data'!$B$5)/12))</f>
        <v>1116944.354</v>
      </c>
      <c r="T24" s="54">
        <f>((T20*'Business model'!$B$4*'BP input data'!$B$5)+(T20*'Business model'!$B$5*(1-'BP input data'!$B$5)/12))</f>
        <v>1281773.359</v>
      </c>
      <c r="U24" s="54">
        <f>((U20*'Business model'!$B$4*'BP input data'!$B$5)+(U20*'Business model'!$B$5*(1-'BP input data'!$B$5)/12))</f>
        <v>1445353.33</v>
      </c>
      <c r="V24" s="54">
        <f>((V20*'Business model'!$B$4*'BP input data'!$B$5)+(V20*'Business model'!$B$5*(1-'BP input data'!$B$5)/12))</f>
        <v>1607694.72</v>
      </c>
      <c r="W24" s="54">
        <f>((W20*'Business model'!$B$4*'BP input data'!$B$5)+(W20*'Business model'!$B$5*(1-'BP input data'!$B$5)/12))</f>
        <v>1768807.887</v>
      </c>
      <c r="X24" s="54">
        <f>((X20*'Business model'!$B$4*'BP input data'!$B$5)+(X20*'Business model'!$B$5*(1-'BP input data'!$B$5)/12))</f>
        <v>1928703.095</v>
      </c>
      <c r="Y24" s="54">
        <f>((Y20*'Business model'!$B$4*'BP input data'!$B$5)+(Y20*'Business model'!$B$5*(1-'BP input data'!$B$5)/12))</f>
        <v>2087390.518</v>
      </c>
      <c r="Z24" s="54">
        <f>((Z20*'Business model'!$B$4*'BP input data'!$B$5)+(Z20*'Business model'!$B$5*(1-'BP input data'!$B$5)/12))</f>
        <v>2244880.237</v>
      </c>
      <c r="AA24" s="54">
        <f>((AA20*'Business model'!$B$4*'BP input data'!$B$5)+(AA20*'Business model'!$B$5*(1-'BP input data'!$B$5)/12))</f>
        <v>2421265.18</v>
      </c>
      <c r="AB24" s="54">
        <f>((AB20*'Business model'!$B$4*'BP input data'!$B$5)+(AB20*'Business model'!$B$5*(1-'BP input data'!$B$5)/12))</f>
        <v>2596173.056</v>
      </c>
      <c r="AC24" s="54">
        <f>((AC20*'Business model'!$B$4*'BP input data'!$B$5)+(AC20*'Business model'!$B$5*(1-'BP input data'!$B$5)/12))</f>
        <v>2769617.143</v>
      </c>
      <c r="AD24" s="54">
        <f>((AD20*'Business model'!$B$4*'BP input data'!$B$5)+(AD20*'Business model'!$B$5*(1-'BP input data'!$B$5)/12))</f>
        <v>3094610.595</v>
      </c>
      <c r="AE24" s="54">
        <f>((AE20*'Business model'!$B$4*'BP input data'!$B$5)+(AE20*'Business model'!$B$5*(1-'BP input data'!$B$5)/12))</f>
        <v>3417401.44</v>
      </c>
      <c r="AF24" s="54">
        <f>((AF20*'Business model'!$B$4*'BP input data'!$B$5)+(AF20*'Business model'!$B$5*(1-'BP input data'!$B$5)/12))</f>
        <v>3738006.411</v>
      </c>
      <c r="AG24" s="54">
        <f>((AG20*'Business model'!$B$4*'BP input data'!$B$5)+(AG20*'Business model'!$B$5*(1-'BP input data'!$B$5)/12))</f>
        <v>4056442.1</v>
      </c>
      <c r="AH24" s="54">
        <f>((AH20*'Business model'!$B$4*'BP input data'!$B$5)+(AH20*'Business model'!$B$5*(1-'BP input data'!$B$5)/12))</f>
        <v>4372724.959</v>
      </c>
      <c r="AI24" s="54">
        <f>((AI20*'Business model'!$B$4*'BP input data'!$B$5)+(AI20*'Business model'!$B$5*(1-'BP input data'!$B$5)/12))</f>
        <v>4686871.305</v>
      </c>
      <c r="AJ24" s="54">
        <f>((AJ20*'Business model'!$B$4*'BP input data'!$B$5)+(AJ20*'Business model'!$B$5*(1-'BP input data'!$B$5)/12))</f>
        <v>4998897.316</v>
      </c>
      <c r="AK24" s="54">
        <f>((AK20*'Business model'!$B$4*'BP input data'!$B$5)+(AK20*'Business model'!$B$5*(1-'BP input data'!$B$5)/12))</f>
        <v>5308819.034</v>
      </c>
      <c r="AL24" s="54">
        <f>((AL20*'Business model'!$B$4*'BP input data'!$B$5)+(AL20*'Business model'!$B$5*(1-'BP input data'!$B$5)/12))</f>
        <v>5616652.369</v>
      </c>
      <c r="AM24" s="54">
        <f>((AM20*'Business model'!$B$4*'BP input data'!$B$5)+(AM20*'Business model'!$B$5*(1-'BP input data'!$B$5)/12))</f>
        <v>5922413.098</v>
      </c>
      <c r="AN24" s="54">
        <f>((AN20*'Business model'!$B$4*'BP input data'!$B$5)+(AN20*'Business model'!$B$5*(1-'BP input data'!$B$5)/12))</f>
        <v>6226116.865</v>
      </c>
      <c r="AO24" s="54">
        <f>((AO20*'Business model'!$B$4*'BP input data'!$B$5)+(AO20*'Business model'!$B$5*(1-'BP input data'!$B$5)/12))</f>
        <v>6527779.184</v>
      </c>
      <c r="AP24" s="54">
        <f>((AP20*'Business model'!$B$4*'BP input data'!$B$5)+(AP20*'Business model'!$B$5*(1-'BP input data'!$B$5)/12))</f>
        <v>6827415.44</v>
      </c>
      <c r="AQ24" s="54">
        <f>((AQ20*'Business model'!$B$4*'BP input data'!$B$5)+(AQ20*'Business model'!$B$5*(1-'BP input data'!$B$5)/12))</f>
        <v>7125040.889</v>
      </c>
      <c r="AR24" s="54">
        <f>((AR20*'Business model'!$B$4*'BP input data'!$B$5)+(AR20*'Business model'!$B$5*(1-'BP input data'!$B$5)/12))</f>
        <v>7420670.662</v>
      </c>
      <c r="AS24" s="54">
        <f>((AS20*'Business model'!$B$4*'BP input data'!$B$5)+(AS20*'Business model'!$B$5*(1-'BP input data'!$B$5)/12))</f>
        <v>7714319.761</v>
      </c>
      <c r="AT24" s="54">
        <f>((AT20*'Business model'!$B$4*'BP input data'!$B$5)+(AT20*'Business model'!$B$5*(1-'BP input data'!$B$5)/12))</f>
        <v>8006003.065</v>
      </c>
      <c r="AU24" s="54">
        <f>((AU20*'Business model'!$B$4*'BP input data'!$B$5)+(AU20*'Business model'!$B$5*(1-'BP input data'!$B$5)/12))</f>
        <v>8295735.33</v>
      </c>
      <c r="AV24" s="54">
        <f>((AV20*'Business model'!$B$4*'BP input data'!$B$5)+(AV20*'Business model'!$B$5*(1-'BP input data'!$B$5)/12))</f>
        <v>8583531.189</v>
      </c>
      <c r="AW24" s="54">
        <f>((AW20*'Business model'!$B$4*'BP input data'!$B$5)+(AW20*'Business model'!$B$5*(1-'BP input data'!$B$5)/12))</f>
        <v>8869405.152</v>
      </c>
      <c r="AX24" s="54">
        <f>((AX20*'Business model'!$B$4*'BP input data'!$B$5)+(AX20*'Business model'!$B$5*(1-'BP input data'!$B$5)/12))</f>
        <v>9153371.61</v>
      </c>
      <c r="AY24" s="54">
        <f>((AY20*'Business model'!$B$4*'BP input data'!$B$5)+(AY20*'Business model'!$B$5*(1-'BP input data'!$B$5)/12))</f>
        <v>9435444.835</v>
      </c>
      <c r="AZ24" s="54">
        <f>((AZ20*'Business model'!$B$4*'BP input data'!$B$5)+(AZ20*'Business model'!$B$5*(1-'BP input data'!$B$5)/12))</f>
        <v>9715638.98</v>
      </c>
      <c r="BA24" s="54">
        <f>((BA20*'Business model'!$B$4*'BP input data'!$B$5)+(BA20*'Business model'!$B$5*(1-'BP input data'!$B$5)/12))</f>
        <v>9993968.082</v>
      </c>
      <c r="BB24" s="54">
        <f>((BB20*'Business model'!$B$4*'BP input data'!$B$5)+(BB20*'Business model'!$B$5*(1-'BP input data'!$B$5)/12))</f>
        <v>10270446.06</v>
      </c>
      <c r="BC24" s="54">
        <f>((BC20*'Business model'!$B$4*'BP input data'!$B$5)+(BC20*'Business model'!$B$5*(1-'BP input data'!$B$5)/12))</f>
        <v>10545086.72</v>
      </c>
      <c r="BD24" s="54">
        <f>((BD20*'Business model'!$B$4*'BP input data'!$B$5)+(BD20*'Business model'!$B$5*(1-'BP input data'!$B$5)/12))</f>
        <v>10817903.75</v>
      </c>
      <c r="BE24" s="54">
        <f>((BE20*'Business model'!$B$4*'BP input data'!$B$5)+(BE20*'Business model'!$B$5*(1-'BP input data'!$B$5)/12))</f>
        <v>11088910.73</v>
      </c>
      <c r="BF24" s="54">
        <f>((BF20*'Business model'!$B$4*'BP input data'!$B$5)+(BF20*'Business model'!$B$5*(1-'BP input data'!$B$5)/12))</f>
        <v>11358121.13</v>
      </c>
      <c r="BG24" s="54">
        <f>((BG20*'Business model'!$B$4*'BP input data'!$B$5)+(BG20*'Business model'!$B$5*(1-'BP input data'!$B$5)/12))</f>
        <v>11625548.29</v>
      </c>
      <c r="BH24" s="54">
        <f>((BH20*'Business model'!$B$4*'BP input data'!$B$5)+(BH20*'Business model'!$B$5*(1-'BP input data'!$B$5)/12))</f>
        <v>11891205.48</v>
      </c>
      <c r="BI24" s="54">
        <f>((BI20*'Business model'!$B$4*'BP input data'!$B$5)+(BI20*'Business model'!$B$5*(1-'BP input data'!$B$5)/12))</f>
        <v>12155105.81</v>
      </c>
      <c r="BJ24" s="54">
        <f>((BJ20*'Business model'!$B$4*'BP input data'!$B$5)+(BJ20*'Business model'!$B$5*(1-'BP input data'!$B$5)/12))</f>
        <v>12417262.32</v>
      </c>
    </row>
    <row r="25" hidden="1">
      <c r="A25" s="44" t="s">
        <v>81</v>
      </c>
      <c r="B25" s="42"/>
      <c r="C25" s="16">
        <f>((C22*'Business model'!$B$6*'BP input data'!$B$5)+(C22*'Business model'!$B$7*(1-'BP input data'!$B$5)/12))</f>
        <v>18133.33333</v>
      </c>
      <c r="D25" s="16">
        <f>((D22*'Business model'!$B$6*'BP input data'!$B$5)+(D22*'Business model'!$B$7*(1-'BP input data'!$B$5)/12))</f>
        <v>40530.24422</v>
      </c>
      <c r="E25" s="54">
        <f>((E22*'Business model'!$B$6*'BP input data'!$B$5)+(E22*'Business model'!$B$7*(1-'BP input data'!$B$5)/12))</f>
        <v>68203.97335</v>
      </c>
      <c r="F25" s="54">
        <f>((F22*'Business model'!$B$6*'BP input data'!$B$5)+(F22*'Business model'!$B$7*(1-'BP input data'!$B$5)/12))</f>
        <v>102408.5312</v>
      </c>
      <c r="G25" s="54">
        <f>((G22*'Business model'!$B$6*'BP input data'!$B$5)+(G22*'Business model'!$B$7*(1-'BP input data'!$B$5)/12))</f>
        <v>144695.9105</v>
      </c>
      <c r="H25" s="54">
        <f>((H22*'Business model'!$B$6*'BP input data'!$B$5)+(H22*'Business model'!$B$7*(1-'BP input data'!$B$5)/12))</f>
        <v>196986.8943</v>
      </c>
      <c r="I25" s="54">
        <f>((I22*'Business model'!$B$6*'BP input data'!$B$5)+(I22*'Business model'!$B$7*(1-'BP input data'!$B$5)/12))</f>
        <v>261658.689</v>
      </c>
      <c r="J25" s="54">
        <f>((J22*'Business model'!$B$6*'BP input data'!$B$5)+(J22*'Business model'!$B$7*(1-'BP input data'!$B$5)/12))</f>
        <v>341653.3812</v>
      </c>
      <c r="K25" s="54">
        <f>((K22*'Business model'!$B$6*'BP input data'!$B$5)+(K22*'Business model'!$B$7*(1-'BP input data'!$B$5)/12))</f>
        <v>440612.1672</v>
      </c>
      <c r="L25" s="54">
        <f>((L22*'Business model'!$B$6*'BP input data'!$B$5)+(L22*'Business model'!$B$7*(1-'BP input data'!$B$5)/12))</f>
        <v>583441.4778</v>
      </c>
      <c r="M25" s="54">
        <f>((M22*'Business model'!$B$6*'BP input data'!$B$5)+(M22*'Business model'!$B$7*(1-'BP input data'!$B$5)/12))</f>
        <v>755267.5783</v>
      </c>
      <c r="N25" s="54">
        <f>((N22*'Business model'!$B$6*'BP input data'!$B$5)+(N22*'Business model'!$B$7*(1-'BP input data'!$B$5)/12))</f>
        <v>962993.1521</v>
      </c>
      <c r="O25" s="54">
        <f>((O22*'Business model'!$B$6*'BP input data'!$B$5)+(O22*'Business model'!$B$7*(1-'BP input data'!$B$5)/12))</f>
        <v>1215161.093</v>
      </c>
      <c r="P25" s="54">
        <f>((P22*'Business model'!$B$6*'BP input data'!$B$5)+(P22*'Business model'!$B$7*(1-'BP input data'!$B$5)/12))</f>
        <v>1522344.26</v>
      </c>
      <c r="Q25" s="54">
        <f>((Q22*'Business model'!$B$6*'BP input data'!$B$5)+(Q22*'Business model'!$B$7*(1-'BP input data'!$B$5)/12))</f>
        <v>1897627.842</v>
      </c>
      <c r="R25" s="54">
        <f>((R22*'Business model'!$B$6*'BP input data'!$B$5)+(R22*'Business model'!$B$7*(1-'BP input data'!$B$5)/12))</f>
        <v>2357206.35</v>
      </c>
      <c r="S25" s="54">
        <f>((S22*'Business model'!$B$6*'BP input data'!$B$5)+(S22*'Business model'!$B$7*(1-'BP input data'!$B$5)/12))</f>
        <v>2921122.465</v>
      </c>
      <c r="T25" s="54">
        <f>((T22*'Business model'!$B$6*'BP input data'!$B$5)+(T22*'Business model'!$B$7*(1-'BP input data'!$B$5)/12))</f>
        <v>3614181.454</v>
      </c>
      <c r="U25" s="54">
        <f>((U22*'Business model'!$B$6*'BP input data'!$B$5)+(U22*'Business model'!$B$7*(1-'BP input data'!$B$5)/12))</f>
        <v>4460282.875</v>
      </c>
      <c r="V25" s="54">
        <f>((V22*'Business model'!$B$6*'BP input data'!$B$5)+(V22*'Business model'!$B$7*(1-'BP input data'!$B$5)/12))</f>
        <v>5504238.202</v>
      </c>
      <c r="W25" s="54">
        <f>((W22*'Business model'!$B$6*'BP input data'!$B$5)+(W22*'Business model'!$B$7*(1-'BP input data'!$B$5)/12))</f>
        <v>6793070.222</v>
      </c>
      <c r="X25" s="54">
        <f>((X22*'Business model'!$B$6*'BP input data'!$B$5)+(X22*'Business model'!$B$7*(1-'BP input data'!$B$5)/12))</f>
        <v>8439375.438</v>
      </c>
      <c r="Y25" s="54">
        <f>((Y22*'Business model'!$B$6*'BP input data'!$B$5)+(Y22*'Business model'!$B$7*(1-'BP input data'!$B$5)/12))</f>
        <v>10460643.2</v>
      </c>
      <c r="Z25" s="54">
        <f>((Z22*'Business model'!$B$6*'BP input data'!$B$5)+(Z22*'Business model'!$B$7*(1-'BP input data'!$B$5)/12))</f>
        <v>12946014.12</v>
      </c>
      <c r="AA25" s="54">
        <f>((AA22*'Business model'!$B$6*'BP input data'!$B$5)+(AA22*'Business model'!$B$7*(1-'BP input data'!$B$5)/12))</f>
        <v>15837888.91</v>
      </c>
      <c r="AB25" s="54">
        <f>((AB22*'Business model'!$B$6*'BP input data'!$B$5)+(AB22*'Business model'!$B$7*(1-'BP input data'!$B$5)/12))</f>
        <v>18694254.4</v>
      </c>
      <c r="AC25" s="54">
        <f>((AC22*'Business model'!$B$6*'BP input data'!$B$5)+(AC22*'Business model'!$B$7*(1-'BP input data'!$B$5)/12))</f>
        <v>21515479.38</v>
      </c>
      <c r="AD25" s="54">
        <f>((AD22*'Business model'!$B$6*'BP input data'!$B$5)+(AD22*'Business model'!$B$7*(1-'BP input data'!$B$5)/12))</f>
        <v>24301928.92</v>
      </c>
      <c r="AE25" s="54">
        <f>((AE22*'Business model'!$B$6*'BP input data'!$B$5)+(AE22*'Business model'!$B$7*(1-'BP input data'!$B$5)/12))</f>
        <v>27053964.42</v>
      </c>
      <c r="AF25" s="54">
        <f>((AF22*'Business model'!$B$6*'BP input data'!$B$5)+(AF22*'Business model'!$B$7*(1-'BP input data'!$B$5)/12))</f>
        <v>29771943.7</v>
      </c>
      <c r="AG25" s="54">
        <f>((AG22*'Business model'!$B$6*'BP input data'!$B$5)+(AG22*'Business model'!$B$7*(1-'BP input data'!$B$5)/12))</f>
        <v>32456220.95</v>
      </c>
      <c r="AH25" s="54">
        <f>((AH22*'Business model'!$B$6*'BP input data'!$B$5)+(AH22*'Business model'!$B$7*(1-'BP input data'!$B$5)/12))</f>
        <v>35107146.85</v>
      </c>
      <c r="AI25" s="54">
        <f>((AI22*'Business model'!$B$6*'BP input data'!$B$5)+(AI22*'Business model'!$B$7*(1-'BP input data'!$B$5)/12))</f>
        <v>37725068.54</v>
      </c>
      <c r="AJ25" s="54">
        <f>((AJ22*'Business model'!$B$6*'BP input data'!$B$5)+(AJ22*'Business model'!$B$7*(1-'BP input data'!$B$5)/12))</f>
        <v>40391929.68</v>
      </c>
      <c r="AK25" s="54">
        <f>((AK22*'Business model'!$B$6*'BP input data'!$B$5)+(AK22*'Business model'!$B$7*(1-'BP input data'!$B$5)/12))</f>
        <v>43026266.51</v>
      </c>
      <c r="AL25" s="54">
        <f>((AL22*'Business model'!$B$6*'BP input data'!$B$5)+(AL22*'Business model'!$B$7*(1-'BP input data'!$B$5)/12))</f>
        <v>45628416.34</v>
      </c>
      <c r="AM25" s="54">
        <f>((AM22*'Business model'!$B$6*'BP input data'!$B$5)+(AM22*'Business model'!$B$7*(1-'BP input data'!$B$5)/12))</f>
        <v>48198713.12</v>
      </c>
      <c r="AN25" s="54">
        <f>((AN22*'Business model'!$B$6*'BP input data'!$B$5)+(AN22*'Business model'!$B$7*(1-'BP input data'!$B$5)/12))</f>
        <v>50737487.44</v>
      </c>
      <c r="AO25" s="54">
        <f>((AO22*'Business model'!$B$6*'BP input data'!$B$5)+(AO22*'Business model'!$B$7*(1-'BP input data'!$B$5)/12))</f>
        <v>53245066.6</v>
      </c>
      <c r="AP25" s="54">
        <f>((AP22*'Business model'!$B$6*'BP input data'!$B$5)+(AP22*'Business model'!$B$7*(1-'BP input data'!$B$5)/12))</f>
        <v>55721774.6</v>
      </c>
      <c r="AQ25" s="54">
        <f>((AQ22*'Business model'!$B$6*'BP input data'!$B$5)+(AQ22*'Business model'!$B$7*(1-'BP input data'!$B$5)/12))</f>
        <v>58167932.22</v>
      </c>
      <c r="AR25" s="54">
        <f>((AR22*'Business model'!$B$6*'BP input data'!$B$5)+(AR22*'Business model'!$B$7*(1-'BP input data'!$B$5)/12))</f>
        <v>60583856.99</v>
      </c>
      <c r="AS25" s="54">
        <f>((AS22*'Business model'!$B$6*'BP input data'!$B$5)+(AS22*'Business model'!$B$7*(1-'BP input data'!$B$5)/12))</f>
        <v>62969863.29</v>
      </c>
      <c r="AT25" s="54">
        <f>((AT22*'Business model'!$B$6*'BP input data'!$B$5)+(AT22*'Business model'!$B$7*(1-'BP input data'!$B$5)/12))</f>
        <v>65326262.34</v>
      </c>
      <c r="AU25" s="54">
        <f>((AU22*'Business model'!$B$6*'BP input data'!$B$5)+(AU22*'Business model'!$B$7*(1-'BP input data'!$B$5)/12))</f>
        <v>67653362.24</v>
      </c>
      <c r="AV25" s="54">
        <f>((AV22*'Business model'!$B$6*'BP input data'!$B$5)+(AV22*'Business model'!$B$7*(1-'BP input data'!$B$5)/12))</f>
        <v>69951467.99</v>
      </c>
      <c r="AW25" s="54">
        <f>((AW22*'Business model'!$B$6*'BP input data'!$B$5)+(AW22*'Business model'!$B$7*(1-'BP input data'!$B$5)/12))</f>
        <v>72220881.56</v>
      </c>
      <c r="AX25" s="54">
        <f>((AX22*'Business model'!$B$6*'BP input data'!$B$5)+(AX22*'Business model'!$B$7*(1-'BP input data'!$B$5)/12))</f>
        <v>74461901.87</v>
      </c>
      <c r="AY25" s="54">
        <f>((AY22*'Business model'!$B$6*'BP input data'!$B$5)+(AY22*'Business model'!$B$7*(1-'BP input data'!$B$5)/12))</f>
        <v>76674824.85</v>
      </c>
      <c r="AZ25" s="54">
        <f>((AZ22*'Business model'!$B$6*'BP input data'!$B$5)+(AZ22*'Business model'!$B$7*(1-'BP input data'!$B$5)/12))</f>
        <v>78859943.47</v>
      </c>
      <c r="BA25" s="54">
        <f>((BA22*'Business model'!$B$6*'BP input data'!$B$5)+(BA22*'Business model'!$B$7*(1-'BP input data'!$B$5)/12))</f>
        <v>81017547.75</v>
      </c>
      <c r="BB25" s="54">
        <f>((BB22*'Business model'!$B$6*'BP input data'!$B$5)+(BB22*'Business model'!$B$7*(1-'BP input data'!$B$5)/12))</f>
        <v>83147924.81</v>
      </c>
      <c r="BC25" s="54">
        <f>((BC22*'Business model'!$B$6*'BP input data'!$B$5)+(BC22*'Business model'!$B$7*(1-'BP input data'!$B$5)/12))</f>
        <v>85251358.88</v>
      </c>
      <c r="BD25" s="54">
        <f>((BD22*'Business model'!$B$6*'BP input data'!$B$5)+(BD22*'Business model'!$B$7*(1-'BP input data'!$B$5)/12))</f>
        <v>87328131.37</v>
      </c>
      <c r="BE25" s="54">
        <f>((BE22*'Business model'!$B$6*'BP input data'!$B$5)+(BE22*'Business model'!$B$7*(1-'BP input data'!$B$5)/12))</f>
        <v>89378520.82</v>
      </c>
      <c r="BF25" s="54">
        <f>((BF22*'Business model'!$B$6*'BP input data'!$B$5)+(BF22*'Business model'!$B$7*(1-'BP input data'!$B$5)/12))</f>
        <v>91402803.02</v>
      </c>
      <c r="BG25" s="54">
        <f>((BG22*'Business model'!$B$6*'BP input data'!$B$5)+(BG22*'Business model'!$B$7*(1-'BP input data'!$B$5)/12))</f>
        <v>93401250.96</v>
      </c>
      <c r="BH25" s="54">
        <f>((BH22*'Business model'!$B$6*'BP input data'!$B$5)+(BH22*'Business model'!$B$7*(1-'BP input data'!$B$5)/12))</f>
        <v>95374134.91</v>
      </c>
      <c r="BI25" s="54">
        <f>((BI22*'Business model'!$B$6*'BP input data'!$B$5)+(BI22*'Business model'!$B$7*(1-'BP input data'!$B$5)/12))</f>
        <v>97321722.42</v>
      </c>
      <c r="BJ25" s="54">
        <f>((BJ22*'Business model'!$B$6*'BP input data'!$B$5)+(BJ22*'Business model'!$B$7*(1-'BP input data'!$B$5)/12))</f>
        <v>99244278.36</v>
      </c>
    </row>
    <row r="26">
      <c r="A26" s="44" t="s">
        <v>82</v>
      </c>
      <c r="B26" s="42"/>
      <c r="C26" s="16">
        <f t="shared" ref="C26:BJ26" si="5">C23+C24+C25</f>
        <v>20435.41667</v>
      </c>
      <c r="D26" s="16">
        <f t="shared" si="5"/>
        <v>71830.02145</v>
      </c>
      <c r="E26" s="16">
        <f t="shared" si="5"/>
        <v>130374.3102</v>
      </c>
      <c r="F26" s="16">
        <f t="shared" si="5"/>
        <v>237622.7266</v>
      </c>
      <c r="G26" s="16">
        <f t="shared" si="5"/>
        <v>352547.9174</v>
      </c>
      <c r="H26" s="16">
        <f t="shared" si="5"/>
        <v>477131.1445</v>
      </c>
      <c r="I26" s="16">
        <f t="shared" si="5"/>
        <v>619328.0799</v>
      </c>
      <c r="J26" s="16">
        <f t="shared" si="5"/>
        <v>776583.0836</v>
      </c>
      <c r="K26" s="16">
        <f t="shared" si="5"/>
        <v>952647.4882</v>
      </c>
      <c r="L26" s="16">
        <f t="shared" si="5"/>
        <v>1172562.377</v>
      </c>
      <c r="M26" s="16">
        <f t="shared" si="5"/>
        <v>1417369.025</v>
      </c>
      <c r="N26" s="16">
        <f t="shared" si="5"/>
        <v>1696560.524</v>
      </c>
      <c r="O26" s="16">
        <f t="shared" si="5"/>
        <v>2030270.043</v>
      </c>
      <c r="P26" s="16">
        <f t="shared" si="5"/>
        <v>2453701.498</v>
      </c>
      <c r="Q26" s="16">
        <f t="shared" si="5"/>
        <v>2945980.891</v>
      </c>
      <c r="R26" s="16">
        <f t="shared" si="5"/>
        <v>3625775.19</v>
      </c>
      <c r="S26" s="16">
        <f t="shared" si="5"/>
        <v>4411198.73</v>
      </c>
      <c r="T26" s="16">
        <f t="shared" si="5"/>
        <v>5327776.16</v>
      </c>
      <c r="U26" s="16">
        <f t="shared" si="5"/>
        <v>6400293.741</v>
      </c>
      <c r="V26" s="16">
        <f t="shared" si="5"/>
        <v>7674656.754</v>
      </c>
      <c r="W26" s="16">
        <f t="shared" si="5"/>
        <v>9199238.158</v>
      </c>
      <c r="X26" s="16">
        <f t="shared" si="5"/>
        <v>11088301.93</v>
      </c>
      <c r="Y26" s="16">
        <f t="shared" si="5"/>
        <v>13361397.64</v>
      </c>
      <c r="Z26" s="16">
        <f t="shared" si="5"/>
        <v>16110212.22</v>
      </c>
      <c r="AA26" s="16">
        <f t="shared" si="5"/>
        <v>19295457.67</v>
      </c>
      <c r="AB26" s="16">
        <f t="shared" si="5"/>
        <v>22492718.4</v>
      </c>
      <c r="AC26" s="16">
        <f t="shared" si="5"/>
        <v>25650894.65</v>
      </c>
      <c r="AD26" s="16">
        <f t="shared" si="5"/>
        <v>28923397.57</v>
      </c>
      <c r="AE26" s="16">
        <f t="shared" si="5"/>
        <v>32156869.12</v>
      </c>
      <c r="AF26" s="16">
        <f t="shared" si="5"/>
        <v>35351715.94</v>
      </c>
      <c r="AG26" s="16">
        <f t="shared" si="5"/>
        <v>38508340.54</v>
      </c>
      <c r="AH26" s="16">
        <f t="shared" si="5"/>
        <v>41627141.34</v>
      </c>
      <c r="AI26" s="16">
        <f t="shared" si="5"/>
        <v>44708512.74</v>
      </c>
      <c r="AJ26" s="16">
        <f t="shared" si="5"/>
        <v>47834445.12</v>
      </c>
      <c r="AK26" s="16">
        <f t="shared" si="5"/>
        <v>50923520.9</v>
      </c>
      <c r="AL26" s="16">
        <f t="shared" si="5"/>
        <v>53976123.1</v>
      </c>
      <c r="AM26" s="16">
        <f t="shared" si="5"/>
        <v>56992630.83</v>
      </c>
      <c r="AN26" s="16">
        <f t="shared" si="5"/>
        <v>59973419.4</v>
      </c>
      <c r="AO26" s="16">
        <f t="shared" si="5"/>
        <v>62918860.27</v>
      </c>
      <c r="AP26" s="16">
        <f t="shared" si="5"/>
        <v>65829321.16</v>
      </c>
      <c r="AQ26" s="16">
        <f t="shared" si="5"/>
        <v>68705166.06</v>
      </c>
      <c r="AR26" s="16">
        <f t="shared" si="5"/>
        <v>71546755.26</v>
      </c>
      <c r="AS26" s="16">
        <f t="shared" si="5"/>
        <v>74354445.39</v>
      </c>
      <c r="AT26" s="16">
        <f t="shared" si="5"/>
        <v>77128589.49</v>
      </c>
      <c r="AU26" s="16">
        <f t="shared" si="5"/>
        <v>79869536.99</v>
      </c>
      <c r="AV26" s="16">
        <f t="shared" si="5"/>
        <v>82577633.8</v>
      </c>
      <c r="AW26" s="16">
        <f t="shared" si="5"/>
        <v>85253222.29</v>
      </c>
      <c r="AX26" s="16">
        <f t="shared" si="5"/>
        <v>87896641.4</v>
      </c>
      <c r="AY26" s="16">
        <f t="shared" si="5"/>
        <v>90508226.59</v>
      </c>
      <c r="AZ26" s="16">
        <f t="shared" si="5"/>
        <v>93088309.95</v>
      </c>
      <c r="BA26" s="16">
        <f t="shared" si="5"/>
        <v>95637220.18</v>
      </c>
      <c r="BB26" s="16">
        <f t="shared" si="5"/>
        <v>98155282.66</v>
      </c>
      <c r="BC26" s="16">
        <f t="shared" si="5"/>
        <v>100642819.4</v>
      </c>
      <c r="BD26" s="16">
        <f t="shared" si="5"/>
        <v>103100149.3</v>
      </c>
      <c r="BE26" s="16">
        <f t="shared" si="5"/>
        <v>105527587.9</v>
      </c>
      <c r="BF26" s="16">
        <f t="shared" si="5"/>
        <v>107925447.6</v>
      </c>
      <c r="BG26" s="16">
        <f t="shared" si="5"/>
        <v>110294037.5</v>
      </c>
      <c r="BH26" s="16">
        <f t="shared" si="5"/>
        <v>112633663.6</v>
      </c>
      <c r="BI26" s="16">
        <f t="shared" si="5"/>
        <v>114944629.1</v>
      </c>
      <c r="BJ26" s="16">
        <f t="shared" si="5"/>
        <v>117227233.6</v>
      </c>
    </row>
    <row r="27">
      <c r="A27" s="33" t="s">
        <v>83</v>
      </c>
      <c r="B27" s="55">
        <v>0.0</v>
      </c>
      <c r="C27" s="16">
        <f t="shared" ref="C27:BJ27" si="6">C26</f>
        <v>20435.41667</v>
      </c>
      <c r="D27" s="16">
        <f t="shared" si="6"/>
        <v>71830.02145</v>
      </c>
      <c r="E27" s="16">
        <f t="shared" si="6"/>
        <v>130374.3102</v>
      </c>
      <c r="F27" s="16">
        <f t="shared" si="6"/>
        <v>237622.7266</v>
      </c>
      <c r="G27" s="16">
        <f t="shared" si="6"/>
        <v>352547.9174</v>
      </c>
      <c r="H27" s="16">
        <f t="shared" si="6"/>
        <v>477131.1445</v>
      </c>
      <c r="I27" s="16">
        <f t="shared" si="6"/>
        <v>619328.0799</v>
      </c>
      <c r="J27" s="16">
        <f t="shared" si="6"/>
        <v>776583.0836</v>
      </c>
      <c r="K27" s="16">
        <f t="shared" si="6"/>
        <v>952647.4882</v>
      </c>
      <c r="L27" s="16">
        <f t="shared" si="6"/>
        <v>1172562.377</v>
      </c>
      <c r="M27" s="16">
        <f t="shared" si="6"/>
        <v>1417369.025</v>
      </c>
      <c r="N27" s="16">
        <f t="shared" si="6"/>
        <v>1696560.524</v>
      </c>
      <c r="O27" s="16">
        <f t="shared" si="6"/>
        <v>2030270.043</v>
      </c>
      <c r="P27" s="16">
        <f t="shared" si="6"/>
        <v>2453701.498</v>
      </c>
      <c r="Q27" s="16">
        <f t="shared" si="6"/>
        <v>2945980.891</v>
      </c>
      <c r="R27" s="16">
        <f t="shared" si="6"/>
        <v>3625775.19</v>
      </c>
      <c r="S27" s="16">
        <f t="shared" si="6"/>
        <v>4411198.73</v>
      </c>
      <c r="T27" s="16">
        <f t="shared" si="6"/>
        <v>5327776.16</v>
      </c>
      <c r="U27" s="16">
        <f t="shared" si="6"/>
        <v>6400293.741</v>
      </c>
      <c r="V27" s="16">
        <f t="shared" si="6"/>
        <v>7674656.754</v>
      </c>
      <c r="W27" s="16">
        <f t="shared" si="6"/>
        <v>9199238.158</v>
      </c>
      <c r="X27" s="16">
        <f t="shared" si="6"/>
        <v>11088301.93</v>
      </c>
      <c r="Y27" s="16">
        <f t="shared" si="6"/>
        <v>13361397.64</v>
      </c>
      <c r="Z27" s="16">
        <f t="shared" si="6"/>
        <v>16110212.22</v>
      </c>
      <c r="AA27" s="16">
        <f t="shared" si="6"/>
        <v>19295457.67</v>
      </c>
      <c r="AB27" s="16">
        <f t="shared" si="6"/>
        <v>22492718.4</v>
      </c>
      <c r="AC27" s="16">
        <f t="shared" si="6"/>
        <v>25650894.65</v>
      </c>
      <c r="AD27" s="16">
        <f t="shared" si="6"/>
        <v>28923397.57</v>
      </c>
      <c r="AE27" s="16">
        <f t="shared" si="6"/>
        <v>32156869.12</v>
      </c>
      <c r="AF27" s="16">
        <f t="shared" si="6"/>
        <v>35351715.94</v>
      </c>
      <c r="AG27" s="16">
        <f t="shared" si="6"/>
        <v>38508340.54</v>
      </c>
      <c r="AH27" s="16">
        <f t="shared" si="6"/>
        <v>41627141.34</v>
      </c>
      <c r="AI27" s="16">
        <f t="shared" si="6"/>
        <v>44708512.74</v>
      </c>
      <c r="AJ27" s="16">
        <f t="shared" si="6"/>
        <v>47834445.12</v>
      </c>
      <c r="AK27" s="16">
        <f t="shared" si="6"/>
        <v>50923520.9</v>
      </c>
      <c r="AL27" s="16">
        <f t="shared" si="6"/>
        <v>53976123.1</v>
      </c>
      <c r="AM27" s="16">
        <f t="shared" si="6"/>
        <v>56992630.83</v>
      </c>
      <c r="AN27" s="16">
        <f t="shared" si="6"/>
        <v>59973419.4</v>
      </c>
      <c r="AO27" s="16">
        <f t="shared" si="6"/>
        <v>62918860.27</v>
      </c>
      <c r="AP27" s="16">
        <f t="shared" si="6"/>
        <v>65829321.16</v>
      </c>
      <c r="AQ27" s="16">
        <f t="shared" si="6"/>
        <v>68705166.06</v>
      </c>
      <c r="AR27" s="16">
        <f t="shared" si="6"/>
        <v>71546755.26</v>
      </c>
      <c r="AS27" s="16">
        <f t="shared" si="6"/>
        <v>74354445.39</v>
      </c>
      <c r="AT27" s="16">
        <f t="shared" si="6"/>
        <v>77128589.49</v>
      </c>
      <c r="AU27" s="16">
        <f t="shared" si="6"/>
        <v>79869536.99</v>
      </c>
      <c r="AV27" s="16">
        <f t="shared" si="6"/>
        <v>82577633.8</v>
      </c>
      <c r="AW27" s="16">
        <f t="shared" si="6"/>
        <v>85253222.29</v>
      </c>
      <c r="AX27" s="16">
        <f t="shared" si="6"/>
        <v>87896641.4</v>
      </c>
      <c r="AY27" s="16">
        <f t="shared" si="6"/>
        <v>90508226.59</v>
      </c>
      <c r="AZ27" s="16">
        <f t="shared" si="6"/>
        <v>93088309.95</v>
      </c>
      <c r="BA27" s="16">
        <f t="shared" si="6"/>
        <v>95637220.18</v>
      </c>
      <c r="BB27" s="16">
        <f t="shared" si="6"/>
        <v>98155282.66</v>
      </c>
      <c r="BC27" s="16">
        <f t="shared" si="6"/>
        <v>100642819.4</v>
      </c>
      <c r="BD27" s="16">
        <f t="shared" si="6"/>
        <v>103100149.3</v>
      </c>
      <c r="BE27" s="16">
        <f t="shared" si="6"/>
        <v>105527587.9</v>
      </c>
      <c r="BF27" s="16">
        <f t="shared" si="6"/>
        <v>107925447.6</v>
      </c>
      <c r="BG27" s="16">
        <f t="shared" si="6"/>
        <v>110294037.5</v>
      </c>
      <c r="BH27" s="16">
        <f t="shared" si="6"/>
        <v>112633663.6</v>
      </c>
      <c r="BI27" s="16">
        <f t="shared" si="6"/>
        <v>114944629.1</v>
      </c>
      <c r="BJ27" s="16">
        <f t="shared" si="6"/>
        <v>117227233.6</v>
      </c>
    </row>
    <row r="28">
      <c r="A28" s="33" t="s">
        <v>84</v>
      </c>
      <c r="B28" s="35">
        <f t="shared" ref="B28:B29" si="8">B27</f>
        <v>0</v>
      </c>
      <c r="C28" s="16">
        <f t="shared" ref="C28:BJ28" si="7">B28+C27</f>
        <v>20435.41667</v>
      </c>
      <c r="D28" s="16">
        <f t="shared" si="7"/>
        <v>92265.43812</v>
      </c>
      <c r="E28" s="16">
        <f t="shared" si="7"/>
        <v>222639.7483</v>
      </c>
      <c r="F28" s="16">
        <f t="shared" si="7"/>
        <v>460262.4749</v>
      </c>
      <c r="G28" s="16">
        <f t="shared" si="7"/>
        <v>812810.3923</v>
      </c>
      <c r="H28" s="16">
        <f t="shared" si="7"/>
        <v>1289941.537</v>
      </c>
      <c r="I28" s="16">
        <f t="shared" si="7"/>
        <v>1909269.617</v>
      </c>
      <c r="J28" s="16">
        <f t="shared" si="7"/>
        <v>2685852.7</v>
      </c>
      <c r="K28" s="16">
        <f t="shared" si="7"/>
        <v>3638500.189</v>
      </c>
      <c r="L28" s="16">
        <f t="shared" si="7"/>
        <v>4811062.565</v>
      </c>
      <c r="M28" s="16">
        <f t="shared" si="7"/>
        <v>6228431.59</v>
      </c>
      <c r="N28" s="16">
        <f t="shared" si="7"/>
        <v>7924992.114</v>
      </c>
      <c r="O28" s="16">
        <f t="shared" si="7"/>
        <v>9955262.157</v>
      </c>
      <c r="P28" s="16">
        <f t="shared" si="7"/>
        <v>12408963.65</v>
      </c>
      <c r="Q28" s="16">
        <f t="shared" si="7"/>
        <v>15354944.55</v>
      </c>
      <c r="R28" s="16">
        <f t="shared" si="7"/>
        <v>18980719.74</v>
      </c>
      <c r="S28" s="16">
        <f t="shared" si="7"/>
        <v>23391918.47</v>
      </c>
      <c r="T28" s="16">
        <f t="shared" si="7"/>
        <v>28719694.63</v>
      </c>
      <c r="U28" s="16">
        <f t="shared" si="7"/>
        <v>35119988.37</v>
      </c>
      <c r="V28" s="16">
        <f t="shared" si="7"/>
        <v>42794645.12</v>
      </c>
      <c r="W28" s="16">
        <f t="shared" si="7"/>
        <v>51993883.28</v>
      </c>
      <c r="X28" s="16">
        <f t="shared" si="7"/>
        <v>63082185.21</v>
      </c>
      <c r="Y28" s="16">
        <f t="shared" si="7"/>
        <v>76443582.85</v>
      </c>
      <c r="Z28" s="16">
        <f t="shared" si="7"/>
        <v>92553795.07</v>
      </c>
      <c r="AA28" s="16">
        <f t="shared" si="7"/>
        <v>111849252.7</v>
      </c>
      <c r="AB28" s="16">
        <f t="shared" si="7"/>
        <v>134341971.1</v>
      </c>
      <c r="AC28" s="16">
        <f t="shared" si="7"/>
        <v>159992865.8</v>
      </c>
      <c r="AD28" s="16">
        <f t="shared" si="7"/>
        <v>188916263.4</v>
      </c>
      <c r="AE28" s="16">
        <f t="shared" si="7"/>
        <v>221073132.5</v>
      </c>
      <c r="AF28" s="16">
        <f t="shared" si="7"/>
        <v>256424848.4</v>
      </c>
      <c r="AG28" s="16">
        <f t="shared" si="7"/>
        <v>294933189</v>
      </c>
      <c r="AH28" s="16">
        <f t="shared" si="7"/>
        <v>336560330.3</v>
      </c>
      <c r="AI28" s="16">
        <f t="shared" si="7"/>
        <v>381268843.1</v>
      </c>
      <c r="AJ28" s="16">
        <f t="shared" si="7"/>
        <v>429103288.2</v>
      </c>
      <c r="AK28" s="16">
        <f t="shared" si="7"/>
        <v>480026809.1</v>
      </c>
      <c r="AL28" s="16">
        <f t="shared" si="7"/>
        <v>534002932.2</v>
      </c>
      <c r="AM28" s="16">
        <f t="shared" si="7"/>
        <v>590995563</v>
      </c>
      <c r="AN28" s="16">
        <f t="shared" si="7"/>
        <v>650968982.4</v>
      </c>
      <c r="AO28" s="16">
        <f t="shared" si="7"/>
        <v>713887842.7</v>
      </c>
      <c r="AP28" s="16">
        <f t="shared" si="7"/>
        <v>779717163.8</v>
      </c>
      <c r="AQ28" s="16">
        <f t="shared" si="7"/>
        <v>848422329.9</v>
      </c>
      <c r="AR28" s="16">
        <f t="shared" si="7"/>
        <v>919969085.2</v>
      </c>
      <c r="AS28" s="16">
        <f t="shared" si="7"/>
        <v>994323530.6</v>
      </c>
      <c r="AT28" s="16">
        <f t="shared" si="7"/>
        <v>1071452120</v>
      </c>
      <c r="AU28" s="16">
        <f t="shared" si="7"/>
        <v>1151321657</v>
      </c>
      <c r="AV28" s="16">
        <f t="shared" si="7"/>
        <v>1233899291</v>
      </c>
      <c r="AW28" s="16">
        <f t="shared" si="7"/>
        <v>1319152513</v>
      </c>
      <c r="AX28" s="16">
        <f t="shared" si="7"/>
        <v>1407049155</v>
      </c>
      <c r="AY28" s="16">
        <f t="shared" si="7"/>
        <v>1497557381</v>
      </c>
      <c r="AZ28" s="16">
        <f t="shared" si="7"/>
        <v>1590645691</v>
      </c>
      <c r="BA28" s="16">
        <f t="shared" si="7"/>
        <v>1686282911</v>
      </c>
      <c r="BB28" s="16">
        <f t="shared" si="7"/>
        <v>1784438194</v>
      </c>
      <c r="BC28" s="16">
        <f t="shared" si="7"/>
        <v>1885081013</v>
      </c>
      <c r="BD28" s="16">
        <f t="shared" si="7"/>
        <v>1988181163</v>
      </c>
      <c r="BE28" s="16">
        <f t="shared" si="7"/>
        <v>2093708751</v>
      </c>
      <c r="BF28" s="16">
        <f t="shared" si="7"/>
        <v>2201634198</v>
      </c>
      <c r="BG28" s="16">
        <f t="shared" si="7"/>
        <v>2311928236</v>
      </c>
      <c r="BH28" s="16">
        <f t="shared" si="7"/>
        <v>2424561899</v>
      </c>
      <c r="BI28" s="16">
        <f t="shared" si="7"/>
        <v>2539506528</v>
      </c>
      <c r="BJ28" s="16">
        <f t="shared" si="7"/>
        <v>2656733762</v>
      </c>
    </row>
    <row r="29">
      <c r="A29" s="26" t="s">
        <v>85</v>
      </c>
      <c r="B29" s="35">
        <f t="shared" si="8"/>
        <v>0</v>
      </c>
      <c r="C29" s="16">
        <f>N28-B28</f>
        <v>7924992.114</v>
      </c>
      <c r="O29" s="16">
        <f>Z28-N28</f>
        <v>84628802.96</v>
      </c>
      <c r="AA29" s="16">
        <f>AL28-Z28</f>
        <v>441449137.1</v>
      </c>
      <c r="AM29" s="16">
        <f>AX28-AL28</f>
        <v>873046222.3</v>
      </c>
      <c r="AY29" s="16">
        <f>BJ28-AX28</f>
        <v>1249684607</v>
      </c>
    </row>
    <row r="30">
      <c r="A30" s="2"/>
      <c r="B30" s="31"/>
    </row>
    <row r="31">
      <c r="A31" s="32" t="s">
        <v>32</v>
      </c>
      <c r="B31" s="55"/>
      <c r="C31" s="53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53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  <row r="32" hidden="1">
      <c r="A32" s="56" t="s">
        <v>86</v>
      </c>
      <c r="B32" s="57"/>
      <c r="C32" s="54">
        <f>Fixed_hosting_cost</f>
        <v>2000</v>
      </c>
      <c r="D32" s="54">
        <f>C32*(1+Fixed_hosting_cost_growth)</f>
        <v>2020</v>
      </c>
      <c r="E32" s="54">
        <f>D32*(1+Fixed_hosting_cost_growth)</f>
        <v>2040.2</v>
      </c>
      <c r="F32" s="54">
        <f>E32*(1+Fixed_hosting_cost_growth)</f>
        <v>2060.602</v>
      </c>
      <c r="G32" s="54">
        <f>F32*(1+Fixed_hosting_cost_growth)</f>
        <v>2081.20802</v>
      </c>
      <c r="H32" s="54">
        <f>G32*(1+Fixed_hosting_cost_growth)</f>
        <v>2102.0201</v>
      </c>
      <c r="I32" s="54">
        <f>H32*(1+Fixed_hosting_cost_growth)</f>
        <v>2123.040301</v>
      </c>
      <c r="J32" s="54">
        <f>I32*(1+Fixed_hosting_cost_growth)</f>
        <v>2144.270704</v>
      </c>
      <c r="K32" s="54">
        <f>J32*(1+Fixed_hosting_cost_growth)</f>
        <v>2165.713411</v>
      </c>
      <c r="L32" s="54">
        <f>K32*(1+Fixed_hosting_cost_growth)</f>
        <v>2187.370545</v>
      </c>
      <c r="M32" s="54">
        <f>L32*(1+Fixed_hosting_cost_growth)</f>
        <v>2209.244251</v>
      </c>
      <c r="N32" s="54">
        <f>M32*(1+Fixed_hosting_cost_growth)</f>
        <v>2231.336693</v>
      </c>
      <c r="O32" s="54">
        <f>N32*(1+Fixed_hosting_cost_growth)</f>
        <v>2253.65006</v>
      </c>
      <c r="P32" s="54">
        <f>O32*(1+Fixed_hosting_cost_growth)</f>
        <v>2276.186561</v>
      </c>
      <c r="Q32" s="54">
        <f>P32*(1+Fixed_hosting_cost_growth)</f>
        <v>2298.948426</v>
      </c>
      <c r="R32" s="54">
        <f>Q32*(1+Fixed_hosting_cost_growth)</f>
        <v>2321.937911</v>
      </c>
      <c r="S32" s="54">
        <f>R32*(1+Fixed_hosting_cost_growth)</f>
        <v>2345.15729</v>
      </c>
      <c r="T32" s="54">
        <f>S32*(1+Fixed_hosting_cost_growth)</f>
        <v>2368.608863</v>
      </c>
      <c r="U32" s="54">
        <f>T32*(1+Fixed_hosting_cost_growth)</f>
        <v>2392.294951</v>
      </c>
      <c r="V32" s="54">
        <f>U32*(1+Fixed_hosting_cost_growth)</f>
        <v>2416.217901</v>
      </c>
      <c r="W32" s="54">
        <f>V32*(1+Fixed_hosting_cost_growth)</f>
        <v>2440.38008</v>
      </c>
      <c r="X32" s="54">
        <f>W32*(1+Fixed_hosting_cost_growth)</f>
        <v>2464.783881</v>
      </c>
      <c r="Y32" s="54">
        <f>X32*(1+Fixed_hosting_cost_growth)</f>
        <v>2489.43172</v>
      </c>
      <c r="Z32" s="54">
        <f>Y32*(1+Fixed_hosting_cost_growth)</f>
        <v>2514.326037</v>
      </c>
      <c r="AA32" s="54">
        <f>Z32*(1+Fixed_hosting_cost_growth)</f>
        <v>2539.469297</v>
      </c>
      <c r="AB32" s="54">
        <f>AA32*(1+Fixed_hosting_cost_growth)</f>
        <v>2564.86399</v>
      </c>
      <c r="AC32" s="54">
        <f>AB32*(1+Fixed_hosting_cost_growth)</f>
        <v>2590.51263</v>
      </c>
      <c r="AD32" s="54">
        <f>AC32*(1+Fixed_hosting_cost_growth)</f>
        <v>2616.417756</v>
      </c>
      <c r="AE32" s="54">
        <f>AD32*(1+Fixed_hosting_cost_growth)</f>
        <v>2642.581934</v>
      </c>
      <c r="AF32" s="54">
        <f>AE32*(1+Fixed_hosting_cost_growth)</f>
        <v>2669.007753</v>
      </c>
      <c r="AG32" s="54">
        <f>AF32*(1+Fixed_hosting_cost_growth)</f>
        <v>2695.697831</v>
      </c>
      <c r="AH32" s="54">
        <f>AG32*(1+Fixed_hosting_cost_growth)</f>
        <v>2722.654809</v>
      </c>
      <c r="AI32" s="54">
        <f>AH32*(1+Fixed_hosting_cost_growth)</f>
        <v>2749.881357</v>
      </c>
      <c r="AJ32" s="54">
        <f>AI32*(1+Fixed_hosting_cost_growth)</f>
        <v>2777.380171</v>
      </c>
      <c r="AK32" s="54">
        <f>AJ32*(1+Fixed_hosting_cost_growth)</f>
        <v>2805.153972</v>
      </c>
      <c r="AL32" s="54">
        <f>AK32*(1+Fixed_hosting_cost_growth)</f>
        <v>2833.205512</v>
      </c>
      <c r="AM32" s="54">
        <f>AL32*(1+Fixed_hosting_cost_growth)</f>
        <v>2861.537567</v>
      </c>
      <c r="AN32" s="54">
        <f>AM32*(1+Fixed_hosting_cost_growth)</f>
        <v>2890.152943</v>
      </c>
      <c r="AO32" s="54">
        <f>AN32*(1+Fixed_hosting_cost_growth)</f>
        <v>2919.054472</v>
      </c>
      <c r="AP32" s="54">
        <f>AO32*(1+Fixed_hosting_cost_growth)</f>
        <v>2948.245017</v>
      </c>
      <c r="AQ32" s="54">
        <f>AP32*(1+Fixed_hosting_cost_growth)</f>
        <v>2977.727467</v>
      </c>
      <c r="AR32" s="54">
        <f>AQ32*(1+Fixed_hosting_cost_growth)</f>
        <v>3007.504742</v>
      </c>
      <c r="AS32" s="54">
        <f>AR32*(1+Fixed_hosting_cost_growth)</f>
        <v>3037.579789</v>
      </c>
      <c r="AT32" s="54">
        <f>AS32*(1+Fixed_hosting_cost_growth)</f>
        <v>3067.955587</v>
      </c>
      <c r="AU32" s="54">
        <f>AT32*(1+Fixed_hosting_cost_growth)</f>
        <v>3098.635143</v>
      </c>
      <c r="AV32" s="54">
        <f>AU32*(1+Fixed_hosting_cost_growth)</f>
        <v>3129.621494</v>
      </c>
      <c r="AW32" s="54">
        <f>AV32*(1+Fixed_hosting_cost_growth)</f>
        <v>3160.917709</v>
      </c>
      <c r="AX32" s="54">
        <f>AW32*(1+Fixed_hosting_cost_growth)</f>
        <v>3192.526886</v>
      </c>
      <c r="AY32" s="54">
        <f>AX32*(1+Fixed_hosting_cost_growth)</f>
        <v>3224.452155</v>
      </c>
      <c r="AZ32" s="54">
        <f>AY32*(1+Fixed_hosting_cost_growth)</f>
        <v>3256.696677</v>
      </c>
      <c r="BA32" s="54">
        <f>AZ32*(1+Fixed_hosting_cost_growth)</f>
        <v>3289.263644</v>
      </c>
      <c r="BB32" s="54">
        <f>BA32*(1+Fixed_hosting_cost_growth)</f>
        <v>3322.15628</v>
      </c>
      <c r="BC32" s="54">
        <f>BB32*(1+Fixed_hosting_cost_growth)</f>
        <v>3355.377843</v>
      </c>
      <c r="BD32" s="54">
        <f>BC32*(1+Fixed_hosting_cost_growth)</f>
        <v>3388.931621</v>
      </c>
      <c r="BE32" s="54">
        <f>BD32*(1+Fixed_hosting_cost_growth)</f>
        <v>3422.820938</v>
      </c>
      <c r="BF32" s="54">
        <f>BE32*(1+Fixed_hosting_cost_growth)</f>
        <v>3457.049147</v>
      </c>
      <c r="BG32" s="54">
        <f>BF32*(1+Fixed_hosting_cost_growth)</f>
        <v>3491.619638</v>
      </c>
      <c r="BH32" s="54">
        <f>BG32*(1+Fixed_hosting_cost_growth)</f>
        <v>3526.535835</v>
      </c>
      <c r="BI32" s="54">
        <f>BH32*(1+Fixed_hosting_cost_growth)</f>
        <v>3561.801193</v>
      </c>
      <c r="BJ32" s="54">
        <f>BI32*(1+Fixed_hosting_cost_growth)</f>
        <v>3597.419205</v>
      </c>
    </row>
    <row r="33" hidden="1">
      <c r="A33" s="56" t="s">
        <v>87</v>
      </c>
      <c r="B33" s="57"/>
      <c r="C33" s="54">
        <f>(Variable_hosting_cost*(C18+C20+C22))</f>
        <v>927.0833333</v>
      </c>
      <c r="D33" s="54">
        <f>(Variable_hosting_cost*(D18+D20+D22))</f>
        <v>6609.698845</v>
      </c>
      <c r="E33" s="54">
        <f>(Variable_hosting_cost*(E18+E20+E22))</f>
        <v>12601.71017</v>
      </c>
      <c r="F33" s="54">
        <f>(Variable_hosting_cost*(F18+F20+F22))</f>
        <v>21328.5174</v>
      </c>
      <c r="G33" s="54">
        <f>(Variable_hosting_cost*(G18+G20+G22))</f>
        <v>30353.18362</v>
      </c>
      <c r="H33" s="54">
        <f>(Variable_hosting_cost*(H18+H20+H22))</f>
        <v>39763.01759</v>
      </c>
      <c r="I33" s="54">
        <f>(Variable_hosting_cost*(I18+I20+I22))</f>
        <v>49989.74388</v>
      </c>
      <c r="J33" s="54">
        <f>(Variable_hosting_cost*(J18+J20+J22))</f>
        <v>60838.08707</v>
      </c>
      <c r="K33" s="54">
        <f>(Variable_hosting_cost*(K18+K20+K22))</f>
        <v>72473.01896</v>
      </c>
      <c r="L33" s="54">
        <f>(Variable_hosting_cost*(L18+L20+L22))</f>
        <v>85848.54447</v>
      </c>
      <c r="M33" s="54">
        <f>(Variable_hosting_cost*(M18+M20+M22))</f>
        <v>99215.10342</v>
      </c>
      <c r="N33" s="54">
        <f>(Variable_hosting_cost*(N18+N20+N22))</f>
        <v>114035.266</v>
      </c>
      <c r="O33" s="54">
        <f>(Variable_hosting_cost*(O18+O20+O22))</f>
        <v>131362.1695</v>
      </c>
      <c r="P33" s="54">
        <f>(Variable_hosting_cost*(P18+P20+P22))</f>
        <v>161104.2548</v>
      </c>
      <c r="Q33" s="54">
        <f>(Variable_hosting_cost*(Q18+Q20+Q22))</f>
        <v>193752.6354</v>
      </c>
      <c r="R33" s="54">
        <f>(Variable_hosting_cost*(R18+R20+R22))</f>
        <v>236039.7114</v>
      </c>
      <c r="S33" s="54">
        <f>(Variable_hosting_cost*(S18+S20+S22))</f>
        <v>282841.4971</v>
      </c>
      <c r="T33" s="54">
        <f>(Variable_hosting_cost*(T18+T20+T22))</f>
        <v>335279.0298</v>
      </c>
      <c r="U33" s="54">
        <f>(Variable_hosting_cost*(U18+U20+U22))</f>
        <v>394489.2825</v>
      </c>
      <c r="V33" s="54">
        <f>(Variable_hosting_cost*(V18+V20+V22))</f>
        <v>462438.9856</v>
      </c>
      <c r="W33" s="54">
        <f>(Variable_hosting_cost*(W18+W20+W22))</f>
        <v>541251.5895</v>
      </c>
      <c r="X33" s="54">
        <f>(Variable_hosting_cost*(X18+X20+X22))</f>
        <v>635554.6904</v>
      </c>
      <c r="Y33" s="54">
        <f>(Variable_hosting_cost*(Y18+Y20+Y22))</f>
        <v>746594.8318</v>
      </c>
      <c r="Z33" s="54">
        <f>(Variable_hosting_cost*(Z18+Z20+Z22))</f>
        <v>878395.7858</v>
      </c>
      <c r="AA33" s="54">
        <f>(Variable_hosting_cost*(AA18+AA20+AA22))</f>
        <v>1029497.862</v>
      </c>
      <c r="AB33" s="54">
        <f>(Variable_hosting_cost*(AB18+AB20+AB22))</f>
        <v>1193619.81</v>
      </c>
      <c r="AC33" s="54">
        <f>(Variable_hosting_cost*(AC18+AC20+AC22))</f>
        <v>1355634.259</v>
      </c>
      <c r="AD33" s="54">
        <f>(Variable_hosting_cost*(AD18+AD20+AD22))</f>
        <v>1524565.088</v>
      </c>
      <c r="AE33" s="54">
        <f>(Variable_hosting_cost*(AE18+AE20+AE22))</f>
        <v>1691390.913</v>
      </c>
      <c r="AF33" s="54">
        <f>(Variable_hosting_cost*(AF18+AF20+AF22))</f>
        <v>1856135.317</v>
      </c>
      <c r="AG33" s="54">
        <f>(Variable_hosting_cost*(AG18+AG20+AG22))</f>
        <v>2018821.625</v>
      </c>
      <c r="AH33" s="54">
        <f>(Variable_hosting_cost*(AH18+AH20+AH22))</f>
        <v>2179472.906</v>
      </c>
      <c r="AI33" s="54">
        <f>(Variable_hosting_cost*(AI18+AI20+AI22))</f>
        <v>2338111.979</v>
      </c>
      <c r="AJ33" s="54">
        <f>(Variable_hosting_cost*(AJ18+AJ20+AJ22))</f>
        <v>2497761.41</v>
      </c>
      <c r="AK33" s="54">
        <f>(Variable_hosting_cost*(AK18+AK20+AK22))</f>
        <v>2655436.023</v>
      </c>
      <c r="AL33" s="54">
        <f>(Variable_hosting_cost*(AL18+AL20+AL22))</f>
        <v>2811157.913</v>
      </c>
      <c r="AM33" s="54">
        <f>(Variable_hosting_cost*(AM18+AM20+AM22))</f>
        <v>2964948.935</v>
      </c>
      <c r="AN33" s="54">
        <f>(Variable_hosting_cost*(AN18+AN20+AN22))</f>
        <v>3116830.705</v>
      </c>
      <c r="AO33" s="54">
        <f>(Variable_hosting_cost*(AO18+AO20+AO22))</f>
        <v>3266824.603</v>
      </c>
      <c r="AP33" s="54">
        <f>(Variable_hosting_cost*(AP18+AP20+AP22))</f>
        <v>3414951.775</v>
      </c>
      <c r="AQ33" s="54">
        <f>(Variable_hosting_cost*(AQ18+AQ20+AQ22))</f>
        <v>3561233.136</v>
      </c>
      <c r="AR33" s="54">
        <f>(Variable_hosting_cost*(AR18+AR20+AR22))</f>
        <v>3705689.371</v>
      </c>
      <c r="AS33" s="54">
        <f>(Variable_hosting_cost*(AS18+AS20+AS22))</f>
        <v>3848340.942</v>
      </c>
      <c r="AT33" s="54">
        <f>(Variable_hosting_cost*(AT18+AT20+AT22))</f>
        <v>3989208.085</v>
      </c>
      <c r="AU33" s="54">
        <f>(Variable_hosting_cost*(AU18+AU20+AU22))</f>
        <v>4128310.814</v>
      </c>
      <c r="AV33" s="54">
        <f>(Variable_hosting_cost*(AV18+AV20+AV22))</f>
        <v>4265668.927</v>
      </c>
      <c r="AW33" s="54">
        <f>(Variable_hosting_cost*(AW18+AW20+AW22))</f>
        <v>4401302.001</v>
      </c>
      <c r="AX33" s="54">
        <f>(Variable_hosting_cost*(AX18+AX20+AX22))</f>
        <v>4535229.404</v>
      </c>
      <c r="AY33" s="54">
        <f>(Variable_hosting_cost*(AY18+AY20+AY22))</f>
        <v>4667470.288</v>
      </c>
      <c r="AZ33" s="54">
        <f>(Variable_hosting_cost*(AZ18+AZ20+AZ22))</f>
        <v>4798043.598</v>
      </c>
      <c r="BA33" s="54">
        <f>(Variable_hosting_cost*(BA18+BA20+BA22))</f>
        <v>4926968.07</v>
      </c>
      <c r="BB33" s="54">
        <f>(Variable_hosting_cost*(BB18+BB20+BB22))</f>
        <v>5054262.236</v>
      </c>
      <c r="BC33" s="54">
        <f>(Variable_hosting_cost*(BC18+BC20+BC22))</f>
        <v>5179944.425</v>
      </c>
      <c r="BD33" s="54">
        <f>(Variable_hosting_cost*(BD18+BD20+BD22))</f>
        <v>5304032.765</v>
      </c>
      <c r="BE33" s="54">
        <f>(Variable_hosting_cost*(BE18+BE20+BE22))</f>
        <v>5426545.186</v>
      </c>
      <c r="BF33" s="54">
        <f>(Variable_hosting_cost*(BF18+BF20+BF22))</f>
        <v>5547499.421</v>
      </c>
      <c r="BG33" s="54">
        <f>(Variable_hosting_cost*(BG18+BG20+BG22))</f>
        <v>5666913.009</v>
      </c>
      <c r="BH33" s="54">
        <f>(Variable_hosting_cost*(BH18+BH20+BH22))</f>
        <v>5784803.298</v>
      </c>
      <c r="BI33" s="54">
        <f>(Variable_hosting_cost*(BI18+BI20+BI22))</f>
        <v>5901187.444</v>
      </c>
      <c r="BJ33" s="54">
        <f>(Variable_hosting_cost*(BJ18+BJ20+BJ22))</f>
        <v>6016082.418</v>
      </c>
    </row>
    <row r="34">
      <c r="A34" s="33" t="s">
        <v>49</v>
      </c>
      <c r="B34" s="55">
        <f>'BP input data'!$B$60+'BP input data'!$B$62</f>
        <v>260000</v>
      </c>
      <c r="C34" s="53">
        <f>'BP input data'!$B$61</f>
        <v>0</v>
      </c>
      <c r="D34" s="53">
        <f>'BP input data'!$B$61</f>
        <v>0</v>
      </c>
      <c r="E34" s="53">
        <f>'BP input data'!$B$61</f>
        <v>0</v>
      </c>
      <c r="F34" s="53">
        <f>'BP input data'!$B$61</f>
        <v>0</v>
      </c>
      <c r="G34" s="53">
        <f>'BP input data'!$B$61</f>
        <v>0</v>
      </c>
      <c r="H34" s="53">
        <f>'BP input data'!$B$61</f>
        <v>0</v>
      </c>
      <c r="I34" s="53">
        <f>'BP input data'!$B$61</f>
        <v>0</v>
      </c>
      <c r="J34" s="53">
        <f>'BP input data'!$B$61</f>
        <v>0</v>
      </c>
      <c r="K34" s="53">
        <f>'BP input data'!$B$61</f>
        <v>0</v>
      </c>
      <c r="L34" s="53">
        <f>'BP input data'!$B$61</f>
        <v>0</v>
      </c>
      <c r="M34" s="53">
        <f>'BP input data'!$B$61</f>
        <v>0</v>
      </c>
      <c r="N34" s="53">
        <f>'BP input data'!$B$61</f>
        <v>0</v>
      </c>
      <c r="O34" s="53">
        <f>'BP input data'!$B$61</f>
        <v>0</v>
      </c>
      <c r="P34" s="53">
        <f>'BP input data'!$B$61</f>
        <v>0</v>
      </c>
      <c r="Q34" s="53">
        <f>'BP input data'!$B$61</f>
        <v>0</v>
      </c>
      <c r="R34" s="53">
        <f>'BP input data'!$B$61</f>
        <v>0</v>
      </c>
      <c r="S34" s="53">
        <f>'BP input data'!$B$61</f>
        <v>0</v>
      </c>
      <c r="T34" s="53">
        <f>'BP input data'!$B$61</f>
        <v>0</v>
      </c>
      <c r="U34" s="53">
        <f>'BP input data'!$B$61</f>
        <v>0</v>
      </c>
      <c r="V34" s="53">
        <f>'BP input data'!$B$61</f>
        <v>0</v>
      </c>
      <c r="W34" s="53">
        <f>'BP input data'!$B$61</f>
        <v>0</v>
      </c>
      <c r="X34" s="53">
        <f>'BP input data'!$B$61</f>
        <v>0</v>
      </c>
      <c r="Y34" s="53">
        <f>'BP input data'!$B$61</f>
        <v>0</v>
      </c>
      <c r="Z34" s="53">
        <f>'BP input data'!$B$61</f>
        <v>0</v>
      </c>
      <c r="AA34" s="53">
        <f>'BP input data'!$B$61</f>
        <v>0</v>
      </c>
      <c r="AB34" s="53">
        <f>'BP input data'!$B$61</f>
        <v>0</v>
      </c>
      <c r="AC34" s="53">
        <f>'BP input data'!$B$61</f>
        <v>0</v>
      </c>
      <c r="AD34" s="53">
        <f>'BP input data'!$B$61</f>
        <v>0</v>
      </c>
      <c r="AE34" s="53">
        <f>'BP input data'!$B$61</f>
        <v>0</v>
      </c>
      <c r="AF34" s="53">
        <f>'BP input data'!$B$61</f>
        <v>0</v>
      </c>
      <c r="AG34" s="53">
        <f>'BP input data'!$B$61</f>
        <v>0</v>
      </c>
      <c r="AH34" s="53">
        <f>'BP input data'!$B$61</f>
        <v>0</v>
      </c>
      <c r="AI34" s="53">
        <f>'BP input data'!$B$61</f>
        <v>0</v>
      </c>
      <c r="AJ34" s="53">
        <f>'BP input data'!$B$61</f>
        <v>0</v>
      </c>
      <c r="AK34" s="53">
        <f>'BP input data'!$B$61</f>
        <v>0</v>
      </c>
      <c r="AL34" s="53">
        <f>'BP input data'!$B$61</f>
        <v>0</v>
      </c>
      <c r="AM34" s="53">
        <f>'BP input data'!$B$61</f>
        <v>0</v>
      </c>
      <c r="AN34" s="53">
        <f>'BP input data'!$B$61</f>
        <v>0</v>
      </c>
      <c r="AO34" s="53">
        <f>'BP input data'!$B$61</f>
        <v>0</v>
      </c>
      <c r="AP34" s="53">
        <f>'BP input data'!$B$61</f>
        <v>0</v>
      </c>
      <c r="AQ34" s="53">
        <f>'BP input data'!$B$61</f>
        <v>0</v>
      </c>
      <c r="AR34" s="53">
        <f>'BP input data'!$B$61</f>
        <v>0</v>
      </c>
      <c r="AS34" s="53">
        <f>'BP input data'!$B$61</f>
        <v>0</v>
      </c>
      <c r="AT34" s="53">
        <f>'BP input data'!$B$61</f>
        <v>0</v>
      </c>
      <c r="AU34" s="53">
        <f>'BP input data'!$B$61</f>
        <v>0</v>
      </c>
      <c r="AV34" s="53">
        <f>'BP input data'!$B$61</f>
        <v>0</v>
      </c>
      <c r="AW34" s="53">
        <f>'BP input data'!$B$61</f>
        <v>0</v>
      </c>
      <c r="AX34" s="53">
        <f>'BP input data'!$B$61</f>
        <v>0</v>
      </c>
      <c r="AY34" s="53">
        <f>'BP input data'!$B$61</f>
        <v>0</v>
      </c>
      <c r="AZ34" s="53">
        <f>'BP input data'!$B$61</f>
        <v>0</v>
      </c>
      <c r="BA34" s="53">
        <f>'BP input data'!$B$61</f>
        <v>0</v>
      </c>
      <c r="BB34" s="53">
        <f>'BP input data'!$B$61</f>
        <v>0</v>
      </c>
      <c r="BC34" s="53">
        <f>'BP input data'!$B$61</f>
        <v>0</v>
      </c>
      <c r="BD34" s="53">
        <f>'BP input data'!$B$61</f>
        <v>0</v>
      </c>
      <c r="BE34" s="53">
        <f>'BP input data'!$B$61</f>
        <v>0</v>
      </c>
      <c r="BF34" s="53">
        <f>'BP input data'!$B$61</f>
        <v>0</v>
      </c>
      <c r="BG34" s="53">
        <f>'BP input data'!$B$61</f>
        <v>0</v>
      </c>
      <c r="BH34" s="53">
        <f>'BP input data'!$B$61</f>
        <v>0</v>
      </c>
      <c r="BI34" s="53">
        <f>'BP input data'!$B$61</f>
        <v>0</v>
      </c>
      <c r="BJ34" s="53">
        <f>'BP input data'!$B$61</f>
        <v>0</v>
      </c>
    </row>
    <row r="35">
      <c r="A35" s="33" t="s">
        <v>50</v>
      </c>
      <c r="B35" s="55"/>
      <c r="C35" s="16">
        <f>if( C2='BP input data'!$B$14,'BP input data'!$B$15,0)</f>
        <v>5000</v>
      </c>
      <c r="D35" s="16">
        <f>if( D2='BP input data'!$B$14,'BP input data'!$B$15,if( D2&gt;'BP input data'!$B$14,min(C35*(1+'BP input data'!$B$16),'BP input data'!$B$17),0))</f>
        <v>6250</v>
      </c>
      <c r="E35" s="16">
        <f>if( E2='BP input data'!$B$14,'BP input data'!$B$15,if( E2&gt;'BP input data'!$B$14,min(D35*(1+'BP input data'!$B$16),'BP input data'!$B$17),0))</f>
        <v>7812.5</v>
      </c>
      <c r="F35" s="16">
        <f>if( F2='BP input data'!$B$14,'BP input data'!$B$15,if( F2&gt;'BP input data'!$B$14,min(E35*(1+'BP input data'!$B$16),'BP input data'!$B$17),0))</f>
        <v>9765.625</v>
      </c>
      <c r="G35" s="16">
        <f>if( G2='BP input data'!$B$14,'BP input data'!$B$15,if( G2&gt;'BP input data'!$B$14,min(F35*(1+'BP input data'!$B$16),'BP input data'!$B$17),0))</f>
        <v>12207.03125</v>
      </c>
      <c r="H35" s="16">
        <f>if( H2='BP input data'!$B$14,'BP input data'!$B$15,if( H2&gt;'BP input data'!$B$14,min(G35*(1+'BP input data'!$B$16),'BP input data'!$B$17),0))</f>
        <v>15258.78906</v>
      </c>
      <c r="I35" s="16">
        <f>if( I2='BP input data'!$B$14,'BP input data'!$B$15,if( I2&gt;'BP input data'!$B$14,min(H35*(1+'BP input data'!$B$16),'BP input data'!$B$17),0))</f>
        <v>19073.48633</v>
      </c>
      <c r="J35" s="16">
        <f>if( J2='BP input data'!$B$14,'BP input data'!$B$15,if( J2&gt;'BP input data'!$B$14,min(I35*(1+'BP input data'!$B$16),'BP input data'!$B$17),0))</f>
        <v>23841.85791</v>
      </c>
      <c r="K35" s="16">
        <f>if( K2='BP input data'!$B$14,'BP input data'!$B$15,if( K2&gt;'BP input data'!$B$14,min(J35*(1+'BP input data'!$B$16),'BP input data'!$B$17),0))</f>
        <v>29802.32239</v>
      </c>
      <c r="L35" s="16">
        <f>if( L2='BP input data'!$B$14,'BP input data'!$B$15,if( L2&gt;'BP input data'!$B$14,min(K35*(1+'BP input data'!$B$16),'BP input data'!$B$17),0))</f>
        <v>37252.90298</v>
      </c>
      <c r="M35" s="16">
        <f>if( M2='BP input data'!$B$14,'BP input data'!$B$15,if( M2&gt;'BP input data'!$B$14,min(L35*(1+'BP input data'!$B$16),'BP input data'!$B$17),0))</f>
        <v>46566.12873</v>
      </c>
      <c r="N35" s="16">
        <f>if( N2='BP input data'!$B$14,'BP input data'!$B$15,if( N2&gt;'BP input data'!$B$14,min(M35*(1+'BP input data'!$B$16),'BP input data'!$B$17),0))</f>
        <v>58207.66091</v>
      </c>
      <c r="O35" s="16">
        <f>if( O2='BP input data'!$B$14,'BP input data'!$B$15,if( O2&gt;'BP input data'!$B$14,min(N35*(1+'BP input data'!$B$16),'BP input data'!$B$17),0))</f>
        <v>72759.57614</v>
      </c>
      <c r="P35" s="16">
        <f>if( P2='BP input data'!$B$14,'BP input data'!$B$15,if( P2&gt;'BP input data'!$B$14,min(O35*(1+'BP input data'!$B$16),'BP input data'!$B$17),0))</f>
        <v>90949.47018</v>
      </c>
      <c r="Q35" s="16">
        <f>if( Q2='BP input data'!$B$14,'BP input data'!$B$15,if( Q2&gt;'BP input data'!$B$14,min(P35*(1+'BP input data'!$B$16),'BP input data'!$B$17),0))</f>
        <v>113686.8377</v>
      </c>
      <c r="R35" s="16">
        <f>if( R2='BP input data'!$B$14,'BP input data'!$B$15,if( R2&gt;'BP input data'!$B$14,min(Q35*(1+'BP input data'!$B$16),'BP input data'!$B$17),0))</f>
        <v>142108.5472</v>
      </c>
      <c r="S35" s="16">
        <f>if( S2='BP input data'!$B$14,'BP input data'!$B$15,if( S2&gt;'BP input data'!$B$14,min(R35*(1+'BP input data'!$B$16),'BP input data'!$B$17),0))</f>
        <v>177635.6839</v>
      </c>
      <c r="T35" s="16">
        <f>if( T2='BP input data'!$B$14,'BP input data'!$B$15,if( T2&gt;'BP input data'!$B$14,min(S35*(1+'BP input data'!$B$16),'BP input data'!$B$17),0))</f>
        <v>222044.6049</v>
      </c>
      <c r="U35" s="16">
        <f>if( U2='BP input data'!$B$14,'BP input data'!$B$15,if( U2&gt;'BP input data'!$B$14,min(T35*(1+'BP input data'!$B$16),'BP input data'!$B$17),0))</f>
        <v>277555.7562</v>
      </c>
      <c r="V35" s="16">
        <f>if( V2='BP input data'!$B$14,'BP input data'!$B$15,if( V2&gt;'BP input data'!$B$14,min(U35*(1+'BP input data'!$B$16),'BP input data'!$B$17),0))</f>
        <v>346944.6952</v>
      </c>
      <c r="W35" s="16">
        <f>if( W2='BP input data'!$B$14,'BP input data'!$B$15,if( W2&gt;'BP input data'!$B$14,min(V35*(1+'BP input data'!$B$16),'BP input data'!$B$17),0))</f>
        <v>433680.869</v>
      </c>
      <c r="X35" s="16">
        <f>if( X2='BP input data'!$B$14,'BP input data'!$B$15,if( X2&gt;'BP input data'!$B$14,min(W35*(1+'BP input data'!$B$16),'BP input data'!$B$17),0))</f>
        <v>542101.0862</v>
      </c>
      <c r="Y35" s="16">
        <f>if( Y2='BP input data'!$B$14,'BP input data'!$B$15,if( Y2&gt;'BP input data'!$B$14,min(X35*(1+'BP input data'!$B$16),'BP input data'!$B$17),0))</f>
        <v>677626.3578</v>
      </c>
      <c r="Z35" s="16">
        <f>if( Z2='BP input data'!$B$14,'BP input data'!$B$15,if( Z2&gt;'BP input data'!$B$14,min(Y35*(1+'BP input data'!$B$16),'BP input data'!$B$17),0))</f>
        <v>847032.9473</v>
      </c>
      <c r="AA35" s="16">
        <f>if( AA2='BP input data'!$B$14,'BP input data'!$B$15,if( AA2&gt;'BP input data'!$B$14,min(Z35*(1+'BP input data'!$B$16),'BP input data'!$B$17),0))</f>
        <v>1000000</v>
      </c>
      <c r="AB35" s="16">
        <f>if( AB2='BP input data'!$B$14,'BP input data'!$B$15,if( AB2&gt;'BP input data'!$B$14,min(AA35*(1+'BP input data'!$B$16),'BP input data'!$B$17),0))</f>
        <v>1000000</v>
      </c>
      <c r="AC35" s="16">
        <f>if( AC2='BP input data'!$B$14,'BP input data'!$B$15,if( AC2&gt;'BP input data'!$B$14,min(AB35*(1+'BP input data'!$B$16),'BP input data'!$B$17),0))</f>
        <v>1000000</v>
      </c>
      <c r="AD35" s="16">
        <f>if( AD2='BP input data'!$B$14,'BP input data'!$B$15,if( AD2&gt;'BP input data'!$B$14,min(AC35*(1+'BP input data'!$B$16),'BP input data'!$B$17),0))</f>
        <v>1000000</v>
      </c>
      <c r="AE35" s="16">
        <f>if( AE2='BP input data'!$B$14,'BP input data'!$B$15,if( AE2&gt;'BP input data'!$B$14,min(AD35*(1+'BP input data'!$B$16),'BP input data'!$B$17),0))</f>
        <v>1000000</v>
      </c>
      <c r="AF35" s="16">
        <f>if( AF2='BP input data'!$B$14,'BP input data'!$B$15,if( AF2&gt;'BP input data'!$B$14,min(AE35*(1+'BP input data'!$B$16),'BP input data'!$B$17),0))</f>
        <v>1000000</v>
      </c>
      <c r="AG35" s="16">
        <f>if( AG2='BP input data'!$B$14,'BP input data'!$B$15,if( AG2&gt;'BP input data'!$B$14,min(AF35*(1+'BP input data'!$B$16),'BP input data'!$B$17),0))</f>
        <v>1000000</v>
      </c>
      <c r="AH35" s="16">
        <f>if( AH2='BP input data'!$B$14,'BP input data'!$B$15,if( AH2&gt;'BP input data'!$B$14,min(AG35*(1+'BP input data'!$B$16),'BP input data'!$B$17),0))</f>
        <v>1000000</v>
      </c>
      <c r="AI35" s="16">
        <f>if( AI2='BP input data'!$B$14,'BP input data'!$B$15,if( AI2&gt;'BP input data'!$B$14,min(AH35*(1+'BP input data'!$B$16),'BP input data'!$B$17),0))</f>
        <v>1000000</v>
      </c>
      <c r="AJ35" s="16">
        <f>if( AJ2='BP input data'!$B$14,'BP input data'!$B$15,if( AJ2&gt;'BP input data'!$B$14,min(AI35*(1+'BP input data'!$B$16),'BP input data'!$B$17),0))</f>
        <v>1000000</v>
      </c>
      <c r="AK35" s="16">
        <f>if( AK2='BP input data'!$B$14,'BP input data'!$B$15,if( AK2&gt;'BP input data'!$B$14,min(AJ35*(1+'BP input data'!$B$16),'BP input data'!$B$17),0))</f>
        <v>1000000</v>
      </c>
      <c r="AL35" s="16">
        <f>if( AL2='BP input data'!$B$14,'BP input data'!$B$15,if( AL2&gt;'BP input data'!$B$14,min(AK35*(1+'BP input data'!$B$16),'BP input data'!$B$17),0))</f>
        <v>1000000</v>
      </c>
      <c r="AM35" s="16">
        <f>if( AM2='BP input data'!$B$14,'BP input data'!$B$15,if( AM2&gt;'BP input data'!$B$14,min(AL35*(1+'BP input data'!$B$16),'BP input data'!$B$17),0))</f>
        <v>1000000</v>
      </c>
      <c r="AN35" s="16">
        <f>if( AN2='BP input data'!$B$14,'BP input data'!$B$15,if( AN2&gt;'BP input data'!$B$14,min(AM35*(1+'BP input data'!$B$16),'BP input data'!$B$17),0))</f>
        <v>1000000</v>
      </c>
      <c r="AO35" s="16">
        <f>if( AO2='BP input data'!$B$14,'BP input data'!$B$15,if( AO2&gt;'BP input data'!$B$14,min(AN35*(1+'BP input data'!$B$16),'BP input data'!$B$17),0))</f>
        <v>1000000</v>
      </c>
      <c r="AP35" s="16">
        <f>if( AP2='BP input data'!$B$14,'BP input data'!$B$15,if( AP2&gt;'BP input data'!$B$14,min(AO35*(1+'BP input data'!$B$16),'BP input data'!$B$17),0))</f>
        <v>1000000</v>
      </c>
      <c r="AQ35" s="16">
        <f>if( AQ2='BP input data'!$B$14,'BP input data'!$B$15,if( AQ2&gt;'BP input data'!$B$14,min(AP35*(1+'BP input data'!$B$16),'BP input data'!$B$17),0))</f>
        <v>1000000</v>
      </c>
      <c r="AR35" s="16">
        <f>if( AR2='BP input data'!$B$14,'BP input data'!$B$15,if( AR2&gt;'BP input data'!$B$14,min(AQ35*(1+'BP input data'!$B$16),'BP input data'!$B$17),0))</f>
        <v>1000000</v>
      </c>
      <c r="AS35" s="16">
        <f>if( AS2='BP input data'!$B$14,'BP input data'!$B$15,if( AS2&gt;'BP input data'!$B$14,min(AR35*(1+'BP input data'!$B$16),'BP input data'!$B$17),0))</f>
        <v>1000000</v>
      </c>
      <c r="AT35" s="16">
        <f>if( AT2='BP input data'!$B$14,'BP input data'!$B$15,if( AT2&gt;'BP input data'!$B$14,min(AS35*(1+'BP input data'!$B$16),'BP input data'!$B$17),0))</f>
        <v>1000000</v>
      </c>
      <c r="AU35" s="16">
        <f>if( AU2='BP input data'!$B$14,'BP input data'!$B$15,if( AU2&gt;'BP input data'!$B$14,min(AT35*(1+'BP input data'!$B$16),'BP input data'!$B$17),0))</f>
        <v>1000000</v>
      </c>
      <c r="AV35" s="16">
        <f>if( AV2='BP input data'!$B$14,'BP input data'!$B$15,if( AV2&gt;'BP input data'!$B$14,min(AU35*(1+'BP input data'!$B$16),'BP input data'!$B$17),0))</f>
        <v>1000000</v>
      </c>
      <c r="AW35" s="16">
        <f>if( AW2='BP input data'!$B$14,'BP input data'!$B$15,if( AW2&gt;'BP input data'!$B$14,min(AV35*(1+'BP input data'!$B$16),'BP input data'!$B$17),0))</f>
        <v>1000000</v>
      </c>
      <c r="AX35" s="16">
        <f>if( AX2='BP input data'!$B$14,'BP input data'!$B$15,if( AX2&gt;'BP input data'!$B$14,min(AW35*(1+'BP input data'!$B$16),'BP input data'!$B$17),0))</f>
        <v>1000000</v>
      </c>
      <c r="AY35" s="16">
        <f>if( AY2='BP input data'!$B$14,'BP input data'!$B$15,if( AY2&gt;'BP input data'!$B$14,min(AX35*(1+'BP input data'!$B$16),'BP input data'!$B$17),0))</f>
        <v>1000000</v>
      </c>
      <c r="AZ35" s="16">
        <f>if( AZ2='BP input data'!$B$14,'BP input data'!$B$15,if( AZ2&gt;'BP input data'!$B$14,min(AY35*(1+'BP input data'!$B$16),'BP input data'!$B$17),0))</f>
        <v>1000000</v>
      </c>
      <c r="BA35" s="16">
        <f>if( BA2='BP input data'!$B$14,'BP input data'!$B$15,if( BA2&gt;'BP input data'!$B$14,min(AZ35*(1+'BP input data'!$B$16),'BP input data'!$B$17),0))</f>
        <v>1000000</v>
      </c>
      <c r="BB35" s="16">
        <f>if( BB2='BP input data'!$B$14,'BP input data'!$B$15,if( BB2&gt;'BP input data'!$B$14,min(BA35*(1+'BP input data'!$B$16),'BP input data'!$B$17),0))</f>
        <v>1000000</v>
      </c>
      <c r="BC35" s="16">
        <f>if( BC2='BP input data'!$B$14,'BP input data'!$B$15,if( BC2&gt;'BP input data'!$B$14,min(BB35*(1+'BP input data'!$B$16),'BP input data'!$B$17),0))</f>
        <v>1000000</v>
      </c>
      <c r="BD35" s="16">
        <f>if( BD2='BP input data'!$B$14,'BP input data'!$B$15,if( BD2&gt;'BP input data'!$B$14,min(BC35*(1+'BP input data'!$B$16),'BP input data'!$B$17),0))</f>
        <v>1000000</v>
      </c>
      <c r="BE35" s="16">
        <f>if( BE2='BP input data'!$B$14,'BP input data'!$B$15,if( BE2&gt;'BP input data'!$B$14,min(BD35*(1+'BP input data'!$B$16),'BP input data'!$B$17),0))</f>
        <v>1000000</v>
      </c>
      <c r="BF35" s="16">
        <f>if( BF2='BP input data'!$B$14,'BP input data'!$B$15,if( BF2&gt;'BP input data'!$B$14,min(BE35*(1+'BP input data'!$B$16),'BP input data'!$B$17),0))</f>
        <v>1000000</v>
      </c>
      <c r="BG35" s="16">
        <f>if( BG2='BP input data'!$B$14,'BP input data'!$B$15,if( BG2&gt;'BP input data'!$B$14,min(BF35*(1+'BP input data'!$B$16),'BP input data'!$B$17),0))</f>
        <v>1000000</v>
      </c>
      <c r="BH35" s="16">
        <f>if( BH2='BP input data'!$B$14,'BP input data'!$B$15,if( BH2&gt;'BP input data'!$B$14,min(BG35*(1+'BP input data'!$B$16),'BP input data'!$B$17),0))</f>
        <v>1000000</v>
      </c>
      <c r="BI35" s="16">
        <f>if( BI2='BP input data'!$B$14,'BP input data'!$B$15,if( BI2&gt;'BP input data'!$B$14,min(BH35*(1+'BP input data'!$B$16),'BP input data'!$B$17),0))</f>
        <v>1000000</v>
      </c>
      <c r="BJ35" s="16">
        <f>if( BJ2='BP input data'!$B$14,'BP input data'!$B$15,if( BJ2&gt;'BP input data'!$B$14,min(BI35*(1+'BP input data'!$B$16),'BP input data'!$B$17),0))</f>
        <v>1000000</v>
      </c>
    </row>
    <row r="36">
      <c r="A36" s="33" t="s">
        <v>51</v>
      </c>
      <c r="B36" s="55"/>
      <c r="C36" s="16">
        <f t="shared" ref="C36:BJ36" si="9">C32+C33</f>
        <v>2927.083333</v>
      </c>
      <c r="D36" s="16">
        <f t="shared" si="9"/>
        <v>8629.698845</v>
      </c>
      <c r="E36" s="16">
        <f t="shared" si="9"/>
        <v>14641.91017</v>
      </c>
      <c r="F36" s="16">
        <f t="shared" si="9"/>
        <v>23389.1194</v>
      </c>
      <c r="G36" s="16">
        <f t="shared" si="9"/>
        <v>32434.39164</v>
      </c>
      <c r="H36" s="16">
        <f t="shared" si="9"/>
        <v>41865.03769</v>
      </c>
      <c r="I36" s="16">
        <f t="shared" si="9"/>
        <v>52112.78418</v>
      </c>
      <c r="J36" s="16">
        <f t="shared" si="9"/>
        <v>62982.35777</v>
      </c>
      <c r="K36" s="16">
        <f t="shared" si="9"/>
        <v>74638.73237</v>
      </c>
      <c r="L36" s="16">
        <f t="shared" si="9"/>
        <v>88035.91502</v>
      </c>
      <c r="M36" s="16">
        <f t="shared" si="9"/>
        <v>101424.3477</v>
      </c>
      <c r="N36" s="16">
        <f t="shared" si="9"/>
        <v>116266.6027</v>
      </c>
      <c r="O36" s="16">
        <f t="shared" si="9"/>
        <v>133615.8195</v>
      </c>
      <c r="P36" s="16">
        <f t="shared" si="9"/>
        <v>163380.4414</v>
      </c>
      <c r="Q36" s="16">
        <f t="shared" si="9"/>
        <v>196051.5839</v>
      </c>
      <c r="R36" s="16">
        <f t="shared" si="9"/>
        <v>238361.6493</v>
      </c>
      <c r="S36" s="16">
        <f t="shared" si="9"/>
        <v>285186.6544</v>
      </c>
      <c r="T36" s="16">
        <f t="shared" si="9"/>
        <v>337647.6387</v>
      </c>
      <c r="U36" s="16">
        <f t="shared" si="9"/>
        <v>396881.5775</v>
      </c>
      <c r="V36" s="16">
        <f t="shared" si="9"/>
        <v>464855.2035</v>
      </c>
      <c r="W36" s="16">
        <f t="shared" si="9"/>
        <v>543691.9695</v>
      </c>
      <c r="X36" s="16">
        <f t="shared" si="9"/>
        <v>638019.4742</v>
      </c>
      <c r="Y36" s="16">
        <f t="shared" si="9"/>
        <v>749084.2635</v>
      </c>
      <c r="Z36" s="16">
        <f t="shared" si="9"/>
        <v>880910.1118</v>
      </c>
      <c r="AA36" s="16">
        <f t="shared" si="9"/>
        <v>1032037.331</v>
      </c>
      <c r="AB36" s="16">
        <f t="shared" si="9"/>
        <v>1196184.674</v>
      </c>
      <c r="AC36" s="16">
        <f t="shared" si="9"/>
        <v>1358224.772</v>
      </c>
      <c r="AD36" s="16">
        <f t="shared" si="9"/>
        <v>1527181.506</v>
      </c>
      <c r="AE36" s="16">
        <f t="shared" si="9"/>
        <v>1694033.495</v>
      </c>
      <c r="AF36" s="16">
        <f t="shared" si="9"/>
        <v>1858804.325</v>
      </c>
      <c r="AG36" s="16">
        <f t="shared" si="9"/>
        <v>2021517.323</v>
      </c>
      <c r="AH36" s="16">
        <f t="shared" si="9"/>
        <v>2182195.561</v>
      </c>
      <c r="AI36" s="16">
        <f t="shared" si="9"/>
        <v>2340861.86</v>
      </c>
      <c r="AJ36" s="16">
        <f t="shared" si="9"/>
        <v>2500538.79</v>
      </c>
      <c r="AK36" s="16">
        <f t="shared" si="9"/>
        <v>2658241.177</v>
      </c>
      <c r="AL36" s="16">
        <f t="shared" si="9"/>
        <v>2813991.118</v>
      </c>
      <c r="AM36" s="16">
        <f t="shared" si="9"/>
        <v>2967810.473</v>
      </c>
      <c r="AN36" s="16">
        <f t="shared" si="9"/>
        <v>3119720.858</v>
      </c>
      <c r="AO36" s="16">
        <f t="shared" si="9"/>
        <v>3269743.657</v>
      </c>
      <c r="AP36" s="16">
        <f t="shared" si="9"/>
        <v>3417900.02</v>
      </c>
      <c r="AQ36" s="16">
        <f t="shared" si="9"/>
        <v>3564210.863</v>
      </c>
      <c r="AR36" s="16">
        <f t="shared" si="9"/>
        <v>3708696.876</v>
      </c>
      <c r="AS36" s="16">
        <f t="shared" si="9"/>
        <v>3851378.522</v>
      </c>
      <c r="AT36" s="16">
        <f t="shared" si="9"/>
        <v>3992276.041</v>
      </c>
      <c r="AU36" s="16">
        <f t="shared" si="9"/>
        <v>4131409.45</v>
      </c>
      <c r="AV36" s="16">
        <f t="shared" si="9"/>
        <v>4268798.548</v>
      </c>
      <c r="AW36" s="16">
        <f t="shared" si="9"/>
        <v>4404462.919</v>
      </c>
      <c r="AX36" s="16">
        <f t="shared" si="9"/>
        <v>4538421.931</v>
      </c>
      <c r="AY36" s="16">
        <f t="shared" si="9"/>
        <v>4670694.741</v>
      </c>
      <c r="AZ36" s="16">
        <f t="shared" si="9"/>
        <v>4801300.295</v>
      </c>
      <c r="BA36" s="16">
        <f t="shared" si="9"/>
        <v>4930257.334</v>
      </c>
      <c r="BB36" s="16">
        <f t="shared" si="9"/>
        <v>5057584.393</v>
      </c>
      <c r="BC36" s="16">
        <f t="shared" si="9"/>
        <v>5183299.803</v>
      </c>
      <c r="BD36" s="16">
        <f t="shared" si="9"/>
        <v>5307421.697</v>
      </c>
      <c r="BE36" s="16">
        <f t="shared" si="9"/>
        <v>5429968.007</v>
      </c>
      <c r="BF36" s="16">
        <f t="shared" si="9"/>
        <v>5550956.47</v>
      </c>
      <c r="BG36" s="16">
        <f t="shared" si="9"/>
        <v>5670404.629</v>
      </c>
      <c r="BH36" s="16">
        <f t="shared" si="9"/>
        <v>5788329.834</v>
      </c>
      <c r="BI36" s="16">
        <f t="shared" si="9"/>
        <v>5904749.246</v>
      </c>
      <c r="BJ36" s="16">
        <f t="shared" si="9"/>
        <v>6019679.837</v>
      </c>
    </row>
    <row r="37">
      <c r="A37" s="33" t="s">
        <v>52</v>
      </c>
      <c r="B37" s="35">
        <f>Pre_launch_months*SUMPRODUCT(
  (Team_start_month &lt;= COLUMN()-2) *
  (ISBLANK(Team_months) + (COLUMN()-2 &lt;= (Team_start_month + Team_months -1))) *
  Team_value
)
</f>
        <v>78000</v>
      </c>
      <c r="C37" s="16">
        <f>SUMPRODUCT(
  (Team_start_month &lt;= COLUMN()-2) *
  (ISBLANK(Team_months) + (COLUMN()-2 &lt;= (Team_start_month + Team_months -1))) *
  Team_value
)
</f>
        <v>44500</v>
      </c>
      <c r="D37" s="16">
        <f>SUMPRODUCT(
  (Team_start_month &lt;= COLUMN()-2) *
  (ISBLANK(Team_months) + (COLUMN()-2 &lt;= (Team_start_month + Team_months -1))) *
  Team_value
)
</f>
        <v>44500</v>
      </c>
      <c r="E37" s="16">
        <f>SUMPRODUCT(
  (Team_start_month &lt;= COLUMN()-2) *
  (ISBLANK(Team_months) + (COLUMN()-2 &lt;= (Team_start_month + Team_months -1))) *
  Team_value
)
</f>
        <v>50500</v>
      </c>
      <c r="F37" s="16">
        <f>SUMPRODUCT(
  (Team_start_month &lt;= COLUMN()-2) *
  (ISBLANK(Team_months) + (COLUMN()-2 &lt;= (Team_start_month + Team_months -1))) *
  Team_value
)
</f>
        <v>62500</v>
      </c>
      <c r="G37" s="16">
        <f>SUMPRODUCT(
  (Team_start_month &lt;= COLUMN()-2) *
  (ISBLANK(Team_months) + (COLUMN()-2 &lt;= (Team_start_month + Team_months -1))) *
  Team_value
)
</f>
        <v>62500</v>
      </c>
      <c r="H37" s="16">
        <f>SUMPRODUCT(
  (Team_start_month &lt;= COLUMN()-2) *
  (ISBLANK(Team_months) + (COLUMN()-2 &lt;= (Team_start_month + Team_months -1))) *
  Team_value
)
</f>
        <v>62500</v>
      </c>
      <c r="I37" s="16">
        <f>SUMPRODUCT(
  (Team_start_month &lt;= COLUMN()-2) *
  (ISBLANK(Team_months) + (COLUMN()-2 &lt;= (Team_start_month + Team_months -1))) *
  Team_value
)
</f>
        <v>79000</v>
      </c>
      <c r="J37" s="16">
        <f>SUMPRODUCT(
  (Team_start_month &lt;= COLUMN()-2) *
  (ISBLANK(Team_months) + (COLUMN()-2 &lt;= (Team_start_month + Team_months -1))) *
  Team_value
)
</f>
        <v>79000</v>
      </c>
      <c r="K37" s="16">
        <f>SUMPRODUCT(
  (Team_start_month &lt;= COLUMN()-2) *
  (ISBLANK(Team_months) + (COLUMN()-2 &lt;= (Team_start_month + Team_months -1))) *
  Team_value
)
</f>
        <v>79000</v>
      </c>
      <c r="L37" s="16">
        <f>SUMPRODUCT(
  (Team_start_month &lt;= COLUMN()-2) *
  (ISBLANK(Team_months) + (COLUMN()-2 &lt;= (Team_start_month + Team_months -1))) *
  Team_value
)
</f>
        <v>79000</v>
      </c>
      <c r="M37" s="16">
        <f>SUMPRODUCT(
  (Team_start_month &lt;= COLUMN()-2) *
  (ISBLANK(Team_months) + (COLUMN()-2 &lt;= (Team_start_month + Team_months -1))) *
  Team_value
)
</f>
        <v>79000</v>
      </c>
      <c r="N37" s="16">
        <f>SUMPRODUCT(
  (Team_start_month &lt;= COLUMN()-2) *
  (ISBLANK(Team_months) + (COLUMN()-2 &lt;= (Team_start_month + Team_months -1))) *
  Team_value
)
</f>
        <v>73000</v>
      </c>
      <c r="O37" s="16">
        <f>SUMPRODUCT(
  (Team_start_month &lt;= COLUMN()-2) *
  (ISBLANK(Team_months) + (COLUMN()-2 &lt;= (Team_start_month + Team_months -1))) *
  Team_value
)
</f>
        <v>143500</v>
      </c>
      <c r="P37" s="16">
        <f>SUMPRODUCT(
  (Team_start_month &lt;= COLUMN()-2) *
  (ISBLANK(Team_months) + (COLUMN()-2 &lt;= (Team_start_month + Team_months -1))) *
  Team_value
)
</f>
        <v>143500</v>
      </c>
      <c r="Q37" s="16">
        <f>SUMPRODUCT(
  (Team_start_month &lt;= COLUMN()-2) *
  (ISBLANK(Team_months) + (COLUMN()-2 &lt;= (Team_start_month + Team_months -1))) *
  Team_value
)
</f>
        <v>143500</v>
      </c>
      <c r="R37" s="16">
        <f>SUMPRODUCT(
  (Team_start_month &lt;= COLUMN()-2) *
  (ISBLANK(Team_months) + (COLUMN()-2 &lt;= (Team_start_month + Team_months -1))) *
  Team_value
)
</f>
        <v>143500</v>
      </c>
      <c r="S37" s="16">
        <f>SUMPRODUCT(
  (Team_start_month &lt;= COLUMN()-2) *
  (ISBLANK(Team_months) + (COLUMN()-2 &lt;= (Team_start_month + Team_months -1))) *
  Team_value
)
</f>
        <v>143500</v>
      </c>
      <c r="T37" s="16">
        <f>SUMPRODUCT(
  (Team_start_month &lt;= COLUMN()-2) *
  (ISBLANK(Team_months) + (COLUMN()-2 &lt;= (Team_start_month + Team_months -1))) *
  Team_value
)
</f>
        <v>143500</v>
      </c>
      <c r="U37" s="16">
        <f>SUMPRODUCT(
  (Team_start_month &lt;= COLUMN()-2) *
  (ISBLANK(Team_months) + (COLUMN()-2 &lt;= (Team_start_month + Team_months -1))) *
  Team_value
)
</f>
        <v>143500</v>
      </c>
      <c r="V37" s="16">
        <f>SUMPRODUCT(
  (Team_start_month &lt;= COLUMN()-2) *
  (ISBLANK(Team_months) + (COLUMN()-2 &lt;= (Team_start_month + Team_months -1))) *
  Team_value
)
</f>
        <v>143500</v>
      </c>
      <c r="W37" s="16">
        <f>SUMPRODUCT(
  (Team_start_month &lt;= COLUMN()-2) *
  (ISBLANK(Team_months) + (COLUMN()-2 &lt;= (Team_start_month + Team_months -1))) *
  Team_value
)
</f>
        <v>143500</v>
      </c>
      <c r="X37" s="16">
        <f>SUMPRODUCT(
  (Team_start_month &lt;= COLUMN()-2) *
  (ISBLANK(Team_months) + (COLUMN()-2 &lt;= (Team_start_month + Team_months -1))) *
  Team_value
)
</f>
        <v>143500</v>
      </c>
      <c r="Y37" s="16">
        <f>SUMPRODUCT(
  (Team_start_month &lt;= COLUMN()-2) *
  (ISBLANK(Team_months) + (COLUMN()-2 &lt;= (Team_start_month + Team_months -1))) *
  Team_value
)
</f>
        <v>143500</v>
      </c>
      <c r="Z37" s="16">
        <f>SUMPRODUCT(
  (Team_start_month &lt;= COLUMN()-2) *
  (ISBLANK(Team_months) + (COLUMN()-2 &lt;= (Team_start_month + Team_months -1))) *
  Team_value
)
</f>
        <v>143500</v>
      </c>
      <c r="AA37" s="16">
        <f>SUMPRODUCT(
  (Team_start_month &lt;= COLUMN()-2) *
  (ISBLANK(Team_months) + (COLUMN()-2 &lt;= (Team_start_month + Team_months -1))) *
  Team_value
)
</f>
        <v>215500</v>
      </c>
      <c r="AB37" s="16">
        <f>SUMPRODUCT(
  (Team_start_month &lt;= COLUMN()-2) *
  (ISBLANK(Team_months) + (COLUMN()-2 &lt;= (Team_start_month + Team_months -1))) *
  Team_value
)
</f>
        <v>215500</v>
      </c>
      <c r="AC37" s="16">
        <f>SUMPRODUCT(
  (Team_start_month &lt;= COLUMN()-2) *
  (ISBLANK(Team_months) + (COLUMN()-2 &lt;= (Team_start_month + Team_months -1))) *
  Team_value
)
</f>
        <v>215500</v>
      </c>
      <c r="AD37" s="16">
        <f>SUMPRODUCT(
  (Team_start_month &lt;= COLUMN()-2) *
  (ISBLANK(Team_months) + (COLUMN()-2 &lt;= (Team_start_month + Team_months -1))) *
  Team_value
)
</f>
        <v>215500</v>
      </c>
      <c r="AE37" s="16">
        <f>SUMPRODUCT(
  (Team_start_month &lt;= COLUMN()-2) *
  (ISBLANK(Team_months) + (COLUMN()-2 &lt;= (Team_start_month + Team_months -1))) *
  Team_value
)
</f>
        <v>215500</v>
      </c>
      <c r="AF37" s="16">
        <f>SUMPRODUCT(
  (Team_start_month &lt;= COLUMN()-2) *
  (ISBLANK(Team_months) + (COLUMN()-2 &lt;= (Team_start_month + Team_months -1))) *
  Team_value
)
</f>
        <v>215500</v>
      </c>
      <c r="AG37" s="16">
        <f>SUMPRODUCT(
  (Team_start_month &lt;= COLUMN()-2) *
  (ISBLANK(Team_months) + (COLUMN()-2 &lt;= (Team_start_month + Team_months -1))) *
  Team_value
)
</f>
        <v>215500</v>
      </c>
      <c r="AH37" s="16">
        <f>SUMPRODUCT(
  (Team_start_month &lt;= COLUMN()-2) *
  (ISBLANK(Team_months) + (COLUMN()-2 &lt;= (Team_start_month + Team_months -1))) *
  Team_value
)
</f>
        <v>215500</v>
      </c>
      <c r="AI37" s="16">
        <f>SUMPRODUCT(
  (Team_start_month &lt;= COLUMN()-2) *
  (ISBLANK(Team_months) + (COLUMN()-2 &lt;= (Team_start_month + Team_months -1))) *
  Team_value
)
</f>
        <v>215500</v>
      </c>
      <c r="AJ37" s="16">
        <f>SUMPRODUCT(
  (Team_start_month &lt;= COLUMN()-2) *
  (ISBLANK(Team_months) + (COLUMN()-2 &lt;= (Team_start_month + Team_months -1))) *
  Team_value
)
</f>
        <v>215500</v>
      </c>
      <c r="AK37" s="16">
        <f>SUMPRODUCT(
  (Team_start_month &lt;= COLUMN()-2) *
  (ISBLANK(Team_months) + (COLUMN()-2 &lt;= (Team_start_month + Team_months -1))) *
  Team_value
)
</f>
        <v>215500</v>
      </c>
      <c r="AL37" s="16">
        <f>SUMPRODUCT(
  (Team_start_month &lt;= COLUMN()-2) *
  (ISBLANK(Team_months) + (COLUMN()-2 &lt;= (Team_start_month + Team_months -1))) *
  Team_value
)
</f>
        <v>215500</v>
      </c>
      <c r="AM37" s="16">
        <f>SUMPRODUCT(
  (Team_start_month &lt;= COLUMN()-2) *
  (ISBLANK(Team_months) + (COLUMN()-2 &lt;= (Team_start_month + Team_months -1))) *
  Team_value
)
</f>
        <v>215500</v>
      </c>
      <c r="AN37" s="16">
        <f>SUMPRODUCT(
  (Team_start_month &lt;= COLUMN()-2) *
  (ISBLANK(Team_months) + (COLUMN()-2 &lt;= (Team_start_month + Team_months -1))) *
  Team_value
)
</f>
        <v>215500</v>
      </c>
      <c r="AO37" s="16">
        <f>SUMPRODUCT(
  (Team_start_month &lt;= COLUMN()-2) *
  (ISBLANK(Team_months) + (COLUMN()-2 &lt;= (Team_start_month + Team_months -1))) *
  Team_value
)
</f>
        <v>215500</v>
      </c>
      <c r="AP37" s="16">
        <f>SUMPRODUCT(
  (Team_start_month &lt;= COLUMN()-2) *
  (ISBLANK(Team_months) + (COLUMN()-2 &lt;= (Team_start_month + Team_months -1))) *
  Team_value
)
</f>
        <v>215500</v>
      </c>
      <c r="AQ37" s="16">
        <f>SUMPRODUCT(
  (Team_start_month &lt;= COLUMN()-2) *
  (ISBLANK(Team_months) + (COLUMN()-2 &lt;= (Team_start_month + Team_months -1))) *
  Team_value
)
</f>
        <v>215500</v>
      </c>
      <c r="AR37" s="16">
        <f>SUMPRODUCT(
  (Team_start_month &lt;= COLUMN()-2) *
  (ISBLANK(Team_months) + (COLUMN()-2 &lt;= (Team_start_month + Team_months -1))) *
  Team_value
)
</f>
        <v>215500</v>
      </c>
      <c r="AS37" s="16">
        <f>SUMPRODUCT(
  (Team_start_month &lt;= COLUMN()-2) *
  (ISBLANK(Team_months) + (COLUMN()-2 &lt;= (Team_start_month + Team_months -1))) *
  Team_value
)
</f>
        <v>215500</v>
      </c>
      <c r="AT37" s="16">
        <f>SUMPRODUCT(
  (Team_start_month &lt;= COLUMN()-2) *
  (ISBLANK(Team_months) + (COLUMN()-2 &lt;= (Team_start_month + Team_months -1))) *
  Team_value
)
</f>
        <v>215500</v>
      </c>
      <c r="AU37" s="16">
        <f>SUMPRODUCT(
  (Team_start_month &lt;= COLUMN()-2) *
  (ISBLANK(Team_months) + (COLUMN()-2 &lt;= (Team_start_month + Team_months -1))) *
  Team_value
)
</f>
        <v>215500</v>
      </c>
      <c r="AV37" s="16">
        <f>SUMPRODUCT(
  (Team_start_month &lt;= COLUMN()-2) *
  (ISBLANK(Team_months) + (COLUMN()-2 &lt;= (Team_start_month + Team_months -1))) *
  Team_value
)
</f>
        <v>215500</v>
      </c>
      <c r="AW37" s="16">
        <f>SUMPRODUCT(
  (Team_start_month &lt;= COLUMN()-2) *
  (ISBLANK(Team_months) + (COLUMN()-2 &lt;= (Team_start_month + Team_months -1))) *
  Team_value
)
</f>
        <v>215500</v>
      </c>
      <c r="AX37" s="16">
        <f>SUMPRODUCT(
  (Team_start_month &lt;= COLUMN()-2) *
  (ISBLANK(Team_months) + (COLUMN()-2 &lt;= (Team_start_month + Team_months -1))) *
  Team_value
)
</f>
        <v>215500</v>
      </c>
      <c r="AY37" s="16">
        <f>SUMPRODUCT(
  (Team_start_month &lt;= COLUMN()-2) *
  (ISBLANK(Team_months) + (COLUMN()-2 &lt;= (Team_start_month + Team_months -1))) *
  Team_value
)
</f>
        <v>215500</v>
      </c>
      <c r="AZ37" s="16">
        <f>SUMPRODUCT(
  (Team_start_month &lt;= COLUMN()-2) *
  (ISBLANK(Team_months) + (COLUMN()-2 &lt;= (Team_start_month + Team_months -1))) *
  Team_value
)
</f>
        <v>215500</v>
      </c>
      <c r="BA37" s="16">
        <f>SUMPRODUCT(
  (Team_start_month &lt;= COLUMN()-2) *
  (ISBLANK(Team_months) + (COLUMN()-2 &lt;= (Team_start_month + Team_months -1))) *
  Team_value
)
</f>
        <v>215500</v>
      </c>
      <c r="BB37" s="16">
        <f>SUMPRODUCT(
  (Team_start_month &lt;= COLUMN()-2) *
  (ISBLANK(Team_months) + (COLUMN()-2 &lt;= (Team_start_month + Team_months -1))) *
  Team_value
)
</f>
        <v>215500</v>
      </c>
      <c r="BC37" s="16">
        <f>SUMPRODUCT(
  (Team_start_month &lt;= COLUMN()-2) *
  (ISBLANK(Team_months) + (COLUMN()-2 &lt;= (Team_start_month + Team_months -1))) *
  Team_value
)
</f>
        <v>215500</v>
      </c>
      <c r="BD37" s="16">
        <f>SUMPRODUCT(
  (Team_start_month &lt;= COLUMN()-2) *
  (ISBLANK(Team_months) + (COLUMN()-2 &lt;= (Team_start_month + Team_months -1))) *
  Team_value
)
</f>
        <v>215500</v>
      </c>
      <c r="BE37" s="16">
        <f>SUMPRODUCT(
  (Team_start_month &lt;= COLUMN()-2) *
  (ISBLANK(Team_months) + (COLUMN()-2 &lt;= (Team_start_month + Team_months -1))) *
  Team_value
)
</f>
        <v>215500</v>
      </c>
      <c r="BF37" s="16">
        <f>SUMPRODUCT(
  (Team_start_month &lt;= COLUMN()-2) *
  (ISBLANK(Team_months) + (COLUMN()-2 &lt;= (Team_start_month + Team_months -1))) *
  Team_value
)
</f>
        <v>215500</v>
      </c>
      <c r="BG37" s="16">
        <f>SUMPRODUCT(
  (Team_start_month &lt;= COLUMN()-2) *
  (ISBLANK(Team_months) + (COLUMN()-2 &lt;= (Team_start_month + Team_months -1))) *
  Team_value
)
</f>
        <v>215500</v>
      </c>
      <c r="BH37" s="16">
        <f>SUMPRODUCT(
  (Team_start_month &lt;= COLUMN()-2) *
  (ISBLANK(Team_months) + (COLUMN()-2 &lt;= (Team_start_month + Team_months -1))) *
  Team_value
)
</f>
        <v>215500</v>
      </c>
      <c r="BI37" s="16">
        <f>SUMPRODUCT(
  (Team_start_month &lt;= COLUMN()-2) *
  (ISBLANK(Team_months) + (COLUMN()-2 &lt;= (Team_start_month + Team_months -1))) *
  Team_value
)
</f>
        <v>215500</v>
      </c>
      <c r="BJ37" s="16">
        <f>SUMPRODUCT(
  (Team_start_month &lt;= COLUMN()-2) *
  (ISBLANK(Team_months) + (COLUMN()-2 &lt;= (Team_start_month + Team_months -1))) *
  Team_value
)
</f>
        <v>215500</v>
      </c>
    </row>
    <row r="38">
      <c r="A38" s="33" t="s">
        <v>53</v>
      </c>
      <c r="B38" s="55">
        <f>'BP input data'!$B$63+'BP input data'!$B$66</f>
        <v>12000</v>
      </c>
      <c r="C38" s="16">
        <f>'BP input data'!$B$64+'BP input data'!$B$65+'BP input data'!$B$67</f>
        <v>3500</v>
      </c>
      <c r="D38" s="16">
        <f>'BP input data'!$B$64+'BP input data'!$B$65+'BP input data'!$B$67</f>
        <v>3500</v>
      </c>
      <c r="E38" s="16">
        <f>'BP input data'!$B$64+'BP input data'!$B$65+'BP input data'!$B$67</f>
        <v>3500</v>
      </c>
      <c r="F38" s="16">
        <f>'BP input data'!$B$64+'BP input data'!$B$65+'BP input data'!$B$67</f>
        <v>3500</v>
      </c>
      <c r="G38" s="16">
        <f>'BP input data'!$B$64+'BP input data'!$B$65+'BP input data'!$B$67</f>
        <v>3500</v>
      </c>
      <c r="H38" s="16">
        <f>'BP input data'!$B$64+'BP input data'!$B$65+'BP input data'!$B$67</f>
        <v>3500</v>
      </c>
      <c r="I38" s="16">
        <f>'BP input data'!$B$64+'BP input data'!$B$65+'BP input data'!$B$67</f>
        <v>3500</v>
      </c>
      <c r="J38" s="16">
        <f>'BP input data'!$B$64+'BP input data'!$B$65+'BP input data'!$B$67</f>
        <v>3500</v>
      </c>
      <c r="K38" s="16">
        <f>'BP input data'!$B$64+'BP input data'!$B$65+'BP input data'!$B$67</f>
        <v>3500</v>
      </c>
      <c r="L38" s="16">
        <f>'BP input data'!$B$64+'BP input data'!$B$65+'BP input data'!$B$67</f>
        <v>3500</v>
      </c>
      <c r="M38" s="16">
        <f>'BP input data'!$B$64+'BP input data'!$B$65+'BP input data'!$B$67</f>
        <v>3500</v>
      </c>
      <c r="N38" s="16">
        <f>'BP input data'!$B$64+'BP input data'!$B$65+'BP input data'!$B$67</f>
        <v>3500</v>
      </c>
      <c r="O38" s="16">
        <f>'BP input data'!$B$64+'BP input data'!$B$65+'BP input data'!$B$67</f>
        <v>3500</v>
      </c>
      <c r="P38" s="16">
        <f>'BP input data'!$B$64+'BP input data'!$B$65+'BP input data'!$B$67</f>
        <v>3500</v>
      </c>
      <c r="Q38" s="16">
        <f>'BP input data'!$B$64+'BP input data'!$B$65+'BP input data'!$B$67</f>
        <v>3500</v>
      </c>
      <c r="R38" s="16">
        <f>'BP input data'!$B$64+'BP input data'!$B$65+'BP input data'!$B$67</f>
        <v>3500</v>
      </c>
      <c r="S38" s="16">
        <f>'BP input data'!$B$64+'BP input data'!$B$65+'BP input data'!$B$67</f>
        <v>3500</v>
      </c>
      <c r="T38" s="16">
        <f>'BP input data'!$B$64+'BP input data'!$B$65+'BP input data'!$B$67</f>
        <v>3500</v>
      </c>
      <c r="U38" s="16">
        <f>'BP input data'!$B$64+'BP input data'!$B$65+'BP input data'!$B$67</f>
        <v>3500</v>
      </c>
      <c r="V38" s="16">
        <f>'BP input data'!$B$64+'BP input data'!$B$65+'BP input data'!$B$67</f>
        <v>3500</v>
      </c>
      <c r="W38" s="16">
        <f>'BP input data'!$B$64+'BP input data'!$B$65+'BP input data'!$B$67</f>
        <v>3500</v>
      </c>
      <c r="X38" s="16">
        <f>'BP input data'!$B$64+'BP input data'!$B$65+'BP input data'!$B$67</f>
        <v>3500</v>
      </c>
      <c r="Y38" s="16">
        <f>'BP input data'!$B$64+'BP input data'!$B$65+'BP input data'!$B$67</f>
        <v>3500</v>
      </c>
      <c r="Z38" s="16">
        <f>'BP input data'!$B$64+'BP input data'!$B$65+'BP input data'!$B$67</f>
        <v>3500</v>
      </c>
      <c r="AA38" s="16">
        <f>'BP input data'!$B$64+'BP input data'!$B$65+'BP input data'!$B$67</f>
        <v>3500</v>
      </c>
      <c r="AB38" s="16">
        <f>'BP input data'!$B$64+'BP input data'!$B$65+'BP input data'!$B$67</f>
        <v>3500</v>
      </c>
      <c r="AC38" s="16">
        <f>'BP input data'!$B$64+'BP input data'!$B$65+'BP input data'!$B$67</f>
        <v>3500</v>
      </c>
      <c r="AD38" s="16">
        <f>'BP input data'!$B$64+'BP input data'!$B$65+'BP input data'!$B$67</f>
        <v>3500</v>
      </c>
      <c r="AE38" s="16">
        <f>'BP input data'!$B$64+'BP input data'!$B$65+'BP input data'!$B$67</f>
        <v>3500</v>
      </c>
      <c r="AF38" s="16">
        <f>'BP input data'!$B$64+'BP input data'!$B$65+'BP input data'!$B$67</f>
        <v>3500</v>
      </c>
      <c r="AG38" s="16">
        <f>'BP input data'!$B$64+'BP input data'!$B$65+'BP input data'!$B$67</f>
        <v>3500</v>
      </c>
      <c r="AH38" s="16">
        <f>'BP input data'!$B$64+'BP input data'!$B$65+'BP input data'!$B$67</f>
        <v>3500</v>
      </c>
      <c r="AI38" s="16">
        <f>'BP input data'!$B$64+'BP input data'!$B$65+'BP input data'!$B$67</f>
        <v>3500</v>
      </c>
      <c r="AJ38" s="16">
        <f>'BP input data'!$B$64+'BP input data'!$B$65+'BP input data'!$B$67</f>
        <v>3500</v>
      </c>
      <c r="AK38" s="16">
        <f>'BP input data'!$B$64+'BP input data'!$B$65+'BP input data'!$B$67</f>
        <v>3500</v>
      </c>
      <c r="AL38" s="16">
        <f>'BP input data'!$B$64+'BP input data'!$B$65+'BP input data'!$B$67</f>
        <v>3500</v>
      </c>
      <c r="AM38" s="16">
        <f>'BP input data'!$B$64+'BP input data'!$B$65+'BP input data'!$B$67</f>
        <v>3500</v>
      </c>
      <c r="AN38" s="16">
        <f>'BP input data'!$B$64+'BP input data'!$B$65+'BP input data'!$B$67</f>
        <v>3500</v>
      </c>
      <c r="AO38" s="16">
        <f>'BP input data'!$B$64+'BP input data'!$B$65+'BP input data'!$B$67</f>
        <v>3500</v>
      </c>
      <c r="AP38" s="16">
        <f>'BP input data'!$B$64+'BP input data'!$B$65+'BP input data'!$B$67</f>
        <v>3500</v>
      </c>
      <c r="AQ38" s="16">
        <f>'BP input data'!$B$64+'BP input data'!$B$65+'BP input data'!$B$67</f>
        <v>3500</v>
      </c>
      <c r="AR38" s="16">
        <f>'BP input data'!$B$64+'BP input data'!$B$65+'BP input data'!$B$67</f>
        <v>3500</v>
      </c>
      <c r="AS38" s="16">
        <f>'BP input data'!$B$64+'BP input data'!$B$65+'BP input data'!$B$67</f>
        <v>3500</v>
      </c>
      <c r="AT38" s="16">
        <f>'BP input data'!$B$64+'BP input data'!$B$65+'BP input data'!$B$67</f>
        <v>3500</v>
      </c>
      <c r="AU38" s="16">
        <f>'BP input data'!$B$64+'BP input data'!$B$65+'BP input data'!$B$67</f>
        <v>3500</v>
      </c>
      <c r="AV38" s="16">
        <f>'BP input data'!$B$64+'BP input data'!$B$65+'BP input data'!$B$67</f>
        <v>3500</v>
      </c>
      <c r="AW38" s="16">
        <f>'BP input data'!$B$64+'BP input data'!$B$65+'BP input data'!$B$67</f>
        <v>3500</v>
      </c>
      <c r="AX38" s="16">
        <f>'BP input data'!$B$64+'BP input data'!$B$65+'BP input data'!$B$67</f>
        <v>3500</v>
      </c>
      <c r="AY38" s="16">
        <f>'BP input data'!$B$64+'BP input data'!$B$65+'BP input data'!$B$67</f>
        <v>3500</v>
      </c>
      <c r="AZ38" s="16">
        <f>'BP input data'!$B$64+'BP input data'!$B$65+'BP input data'!$B$67</f>
        <v>3500</v>
      </c>
      <c r="BA38" s="16">
        <f>'BP input data'!$B$64+'BP input data'!$B$65+'BP input data'!$B$67</f>
        <v>3500</v>
      </c>
      <c r="BB38" s="16">
        <f>'BP input data'!$B$64+'BP input data'!$B$65+'BP input data'!$B$67</f>
        <v>3500</v>
      </c>
      <c r="BC38" s="16">
        <f>'BP input data'!$B$64+'BP input data'!$B$65+'BP input data'!$B$67</f>
        <v>3500</v>
      </c>
      <c r="BD38" s="16">
        <f>'BP input data'!$B$64+'BP input data'!$B$65+'BP input data'!$B$67</f>
        <v>3500</v>
      </c>
      <c r="BE38" s="16">
        <f>'BP input data'!$B$64+'BP input data'!$B$65+'BP input data'!$B$67</f>
        <v>3500</v>
      </c>
      <c r="BF38" s="16">
        <f>'BP input data'!$B$64+'BP input data'!$B$65+'BP input data'!$B$67</f>
        <v>3500</v>
      </c>
      <c r="BG38" s="16">
        <f>'BP input data'!$B$64+'BP input data'!$B$65+'BP input data'!$B$67</f>
        <v>3500</v>
      </c>
      <c r="BH38" s="16">
        <f>'BP input data'!$B$64+'BP input data'!$B$65+'BP input data'!$B$67</f>
        <v>3500</v>
      </c>
      <c r="BI38" s="16">
        <f>'BP input data'!$B$64+'BP input data'!$B$65+'BP input data'!$B$67</f>
        <v>3500</v>
      </c>
      <c r="BJ38" s="16">
        <f>'BP input data'!$B$64+'BP input data'!$B$65+'BP input data'!$B$67</f>
        <v>3500</v>
      </c>
    </row>
    <row r="39">
      <c r="A39" s="33" t="s">
        <v>54</v>
      </c>
      <c r="B39" s="55">
        <f>'BP input data'!B71+('BP input data'!$B$4*'BP input data'!$B$70)</f>
        <v>33000</v>
      </c>
      <c r="C39" s="16">
        <f>'BP input data'!$B$70</f>
        <v>1000</v>
      </c>
      <c r="D39" s="16">
        <f>'BP input data'!$B$70</f>
        <v>1000</v>
      </c>
      <c r="E39" s="16">
        <f>'BP input data'!$B$70</f>
        <v>1000</v>
      </c>
      <c r="F39" s="16">
        <f>'BP input data'!$B$70</f>
        <v>1000</v>
      </c>
      <c r="G39" s="16">
        <f>'BP input data'!$B$70</f>
        <v>1000</v>
      </c>
      <c r="H39" s="16">
        <f>'BP input data'!$B$70</f>
        <v>1000</v>
      </c>
      <c r="I39" s="16">
        <f>'BP input data'!$B$70+'BP input data'!$B$71</f>
        <v>28000</v>
      </c>
      <c r="J39" s="16">
        <f>'BP input data'!$B$70</f>
        <v>1000</v>
      </c>
      <c r="K39" s="16">
        <f>'BP input data'!$B$70</f>
        <v>1000</v>
      </c>
      <c r="L39" s="16">
        <f>'BP input data'!$B$70</f>
        <v>1000</v>
      </c>
      <c r="M39" s="16">
        <f>'BP input data'!$B$70</f>
        <v>1000</v>
      </c>
      <c r="N39" s="16">
        <f>'BP input data'!$B$70</f>
        <v>1000</v>
      </c>
      <c r="O39" s="16">
        <f>'BP input data'!$B$70</f>
        <v>1000</v>
      </c>
      <c r="P39" s="16">
        <f>'BP input data'!$B$70</f>
        <v>1000</v>
      </c>
      <c r="Q39" s="16">
        <f>'BP input data'!$B$70</f>
        <v>1000</v>
      </c>
      <c r="R39" s="16">
        <f>'BP input data'!$B$70</f>
        <v>1000</v>
      </c>
      <c r="S39" s="16">
        <f>'BP input data'!$B$70</f>
        <v>1000</v>
      </c>
      <c r="T39" s="16">
        <f>'BP input data'!$B$70</f>
        <v>1000</v>
      </c>
      <c r="U39" s="16">
        <f>'BP input data'!$B$70+'BP input data'!$B$71</f>
        <v>28000</v>
      </c>
      <c r="V39" s="16">
        <f>'BP input data'!$B$70</f>
        <v>1000</v>
      </c>
      <c r="W39" s="16">
        <f>'BP input data'!$B$70</f>
        <v>1000</v>
      </c>
      <c r="X39" s="16">
        <f>'BP input data'!$B$70</f>
        <v>1000</v>
      </c>
      <c r="Y39" s="16">
        <f>'BP input data'!$B$70</f>
        <v>1000</v>
      </c>
      <c r="Z39" s="16">
        <f>'BP input data'!$B$70</f>
        <v>1000</v>
      </c>
      <c r="AA39" s="16">
        <f>'BP input data'!$B$70</f>
        <v>1000</v>
      </c>
      <c r="AB39" s="16">
        <f>'BP input data'!$B$70</f>
        <v>1000</v>
      </c>
      <c r="AC39" s="16">
        <f>'BP input data'!$B$70</f>
        <v>1000</v>
      </c>
      <c r="AD39" s="16">
        <f>'BP input data'!$B$70</f>
        <v>1000</v>
      </c>
      <c r="AE39" s="16">
        <f>'BP input data'!$B$70</f>
        <v>1000</v>
      </c>
      <c r="AF39" s="16">
        <f>'BP input data'!$B$70</f>
        <v>1000</v>
      </c>
      <c r="AG39" s="16">
        <f>'BP input data'!$B$70+'BP input data'!$B$71</f>
        <v>28000</v>
      </c>
      <c r="AH39" s="16">
        <f>'BP input data'!$B$70</f>
        <v>1000</v>
      </c>
      <c r="AI39" s="16">
        <f>'BP input data'!$B$70</f>
        <v>1000</v>
      </c>
      <c r="AJ39" s="16">
        <f>'BP input data'!$B$70</f>
        <v>1000</v>
      </c>
      <c r="AK39" s="16">
        <f>'BP input data'!$B$70</f>
        <v>1000</v>
      </c>
      <c r="AL39" s="16">
        <f>'BP input data'!$B$70</f>
        <v>1000</v>
      </c>
      <c r="AM39" s="16">
        <f>'BP input data'!$B$70</f>
        <v>1000</v>
      </c>
      <c r="AN39" s="16">
        <f>'BP input data'!$B$70</f>
        <v>1000</v>
      </c>
      <c r="AO39" s="16">
        <f>'BP input data'!$B$70</f>
        <v>1000</v>
      </c>
      <c r="AP39" s="16">
        <f>'BP input data'!$B$70</f>
        <v>1000</v>
      </c>
      <c r="AQ39" s="16">
        <f>'BP input data'!$B$70</f>
        <v>1000</v>
      </c>
      <c r="AR39" s="16">
        <f>'BP input data'!$B$70</f>
        <v>1000</v>
      </c>
      <c r="AS39" s="16">
        <f>'BP input data'!$B$70+'BP input data'!$B$71</f>
        <v>28000</v>
      </c>
      <c r="AT39" s="16">
        <f>'BP input data'!$B$70</f>
        <v>1000</v>
      </c>
      <c r="AU39" s="16">
        <f>'BP input data'!$B$70</f>
        <v>1000</v>
      </c>
      <c r="AV39" s="16">
        <f>'BP input data'!$B$70</f>
        <v>1000</v>
      </c>
      <c r="AW39" s="16">
        <f>'BP input data'!$B$70</f>
        <v>1000</v>
      </c>
      <c r="AX39" s="16">
        <f>'BP input data'!$B$70</f>
        <v>1000</v>
      </c>
      <c r="AY39" s="16">
        <f>'BP input data'!$B$70</f>
        <v>1000</v>
      </c>
      <c r="AZ39" s="16">
        <f>'BP input data'!$B$70</f>
        <v>1000</v>
      </c>
      <c r="BA39" s="16">
        <f>'BP input data'!$B$70</f>
        <v>1000</v>
      </c>
      <c r="BB39" s="16">
        <f>'BP input data'!$B$70</f>
        <v>1000</v>
      </c>
      <c r="BC39" s="16">
        <f>'BP input data'!$B$70</f>
        <v>1000</v>
      </c>
      <c r="BD39" s="16">
        <f>'BP input data'!$B$70</f>
        <v>1000</v>
      </c>
      <c r="BE39" s="16">
        <f>'BP input data'!$B$70+'BP input data'!$B$71</f>
        <v>28000</v>
      </c>
      <c r="BF39" s="16">
        <f>'BP input data'!$B$70</f>
        <v>1000</v>
      </c>
      <c r="BG39" s="16">
        <f>'BP input data'!$B$70</f>
        <v>1000</v>
      </c>
      <c r="BH39" s="16">
        <f>'BP input data'!$B$70</f>
        <v>1000</v>
      </c>
      <c r="BI39" s="16">
        <f>'BP input data'!$B$70</f>
        <v>1000</v>
      </c>
      <c r="BJ39" s="16">
        <f>'BP input data'!$B$70</f>
        <v>1000</v>
      </c>
    </row>
    <row r="40">
      <c r="A40" s="33" t="s">
        <v>32</v>
      </c>
      <c r="B40" s="35">
        <f t="shared" ref="B40:BJ40" si="10">sum(B34:B39)</f>
        <v>383000</v>
      </c>
      <c r="C40" s="16">
        <f t="shared" si="10"/>
        <v>56927.08333</v>
      </c>
      <c r="D40" s="16">
        <f t="shared" si="10"/>
        <v>63879.69884</v>
      </c>
      <c r="E40" s="16">
        <f t="shared" si="10"/>
        <v>77454.41017</v>
      </c>
      <c r="F40" s="16">
        <f t="shared" si="10"/>
        <v>100154.7444</v>
      </c>
      <c r="G40" s="16">
        <f t="shared" si="10"/>
        <v>111641.4229</v>
      </c>
      <c r="H40" s="16">
        <f t="shared" si="10"/>
        <v>124123.8267</v>
      </c>
      <c r="I40" s="16">
        <f t="shared" si="10"/>
        <v>181686.2705</v>
      </c>
      <c r="J40" s="16">
        <f t="shared" si="10"/>
        <v>170324.2157</v>
      </c>
      <c r="K40" s="16">
        <f t="shared" si="10"/>
        <v>187941.0548</v>
      </c>
      <c r="L40" s="16">
        <f t="shared" si="10"/>
        <v>208788.818</v>
      </c>
      <c r="M40" s="16">
        <f t="shared" si="10"/>
        <v>231490.4764</v>
      </c>
      <c r="N40" s="16">
        <f t="shared" si="10"/>
        <v>251974.2636</v>
      </c>
      <c r="O40" s="16">
        <f t="shared" si="10"/>
        <v>354375.3957</v>
      </c>
      <c r="P40" s="16">
        <f t="shared" si="10"/>
        <v>402329.9116</v>
      </c>
      <c r="Q40" s="16">
        <f t="shared" si="10"/>
        <v>457738.4216</v>
      </c>
      <c r="R40" s="16">
        <f t="shared" si="10"/>
        <v>528470.1965</v>
      </c>
      <c r="S40" s="16">
        <f t="shared" si="10"/>
        <v>610822.3383</v>
      </c>
      <c r="T40" s="16">
        <f t="shared" si="10"/>
        <v>707692.2436</v>
      </c>
      <c r="U40" s="16">
        <f t="shared" si="10"/>
        <v>849437.3336</v>
      </c>
      <c r="V40" s="16">
        <f t="shared" si="10"/>
        <v>959799.8987</v>
      </c>
      <c r="W40" s="16">
        <f t="shared" si="10"/>
        <v>1125372.839</v>
      </c>
      <c r="X40" s="16">
        <f t="shared" si="10"/>
        <v>1328120.56</v>
      </c>
      <c r="Y40" s="16">
        <f t="shared" si="10"/>
        <v>1574710.621</v>
      </c>
      <c r="Z40" s="16">
        <f t="shared" si="10"/>
        <v>1875943.059</v>
      </c>
      <c r="AA40" s="16">
        <f t="shared" si="10"/>
        <v>2252037.331</v>
      </c>
      <c r="AB40" s="16">
        <f t="shared" si="10"/>
        <v>2416184.674</v>
      </c>
      <c r="AC40" s="16">
        <f t="shared" si="10"/>
        <v>2578224.772</v>
      </c>
      <c r="AD40" s="16">
        <f t="shared" si="10"/>
        <v>2747181.506</v>
      </c>
      <c r="AE40" s="16">
        <f t="shared" si="10"/>
        <v>2914033.495</v>
      </c>
      <c r="AF40" s="16">
        <f t="shared" si="10"/>
        <v>3078804.325</v>
      </c>
      <c r="AG40" s="16">
        <f t="shared" si="10"/>
        <v>3268517.323</v>
      </c>
      <c r="AH40" s="16">
        <f t="shared" si="10"/>
        <v>3402195.561</v>
      </c>
      <c r="AI40" s="16">
        <f t="shared" si="10"/>
        <v>3560861.86</v>
      </c>
      <c r="AJ40" s="16">
        <f t="shared" si="10"/>
        <v>3720538.79</v>
      </c>
      <c r="AK40" s="16">
        <f t="shared" si="10"/>
        <v>3878241.177</v>
      </c>
      <c r="AL40" s="16">
        <f t="shared" si="10"/>
        <v>4033991.118</v>
      </c>
      <c r="AM40" s="16">
        <f t="shared" si="10"/>
        <v>4187810.473</v>
      </c>
      <c r="AN40" s="16">
        <f t="shared" si="10"/>
        <v>4339720.858</v>
      </c>
      <c r="AO40" s="16">
        <f t="shared" si="10"/>
        <v>4489743.657</v>
      </c>
      <c r="AP40" s="16">
        <f t="shared" si="10"/>
        <v>4637900.02</v>
      </c>
      <c r="AQ40" s="16">
        <f t="shared" si="10"/>
        <v>4784210.863</v>
      </c>
      <c r="AR40" s="16">
        <f t="shared" si="10"/>
        <v>4928696.876</v>
      </c>
      <c r="AS40" s="16">
        <f t="shared" si="10"/>
        <v>5098378.522</v>
      </c>
      <c r="AT40" s="16">
        <f t="shared" si="10"/>
        <v>5212276.041</v>
      </c>
      <c r="AU40" s="16">
        <f t="shared" si="10"/>
        <v>5351409.45</v>
      </c>
      <c r="AV40" s="16">
        <f t="shared" si="10"/>
        <v>5488798.548</v>
      </c>
      <c r="AW40" s="16">
        <f t="shared" si="10"/>
        <v>5624462.919</v>
      </c>
      <c r="AX40" s="16">
        <f t="shared" si="10"/>
        <v>5758421.931</v>
      </c>
      <c r="AY40" s="16">
        <f t="shared" si="10"/>
        <v>5890694.741</v>
      </c>
      <c r="AZ40" s="16">
        <f t="shared" si="10"/>
        <v>6021300.295</v>
      </c>
      <c r="BA40" s="16">
        <f t="shared" si="10"/>
        <v>6150257.334</v>
      </c>
      <c r="BB40" s="16">
        <f t="shared" si="10"/>
        <v>6277584.393</v>
      </c>
      <c r="BC40" s="16">
        <f t="shared" si="10"/>
        <v>6403299.803</v>
      </c>
      <c r="BD40" s="16">
        <f t="shared" si="10"/>
        <v>6527421.697</v>
      </c>
      <c r="BE40" s="16">
        <f t="shared" si="10"/>
        <v>6676968.007</v>
      </c>
      <c r="BF40" s="16">
        <f t="shared" si="10"/>
        <v>6770956.47</v>
      </c>
      <c r="BG40" s="16">
        <f t="shared" si="10"/>
        <v>6890404.629</v>
      </c>
      <c r="BH40" s="16">
        <f t="shared" si="10"/>
        <v>7008329.834</v>
      </c>
      <c r="BI40" s="16">
        <f t="shared" si="10"/>
        <v>7124749.246</v>
      </c>
      <c r="BJ40" s="16">
        <f t="shared" si="10"/>
        <v>7239679.837</v>
      </c>
    </row>
    <row r="41">
      <c r="A41" s="33" t="s">
        <v>88</v>
      </c>
      <c r="B41" s="35">
        <f t="shared" ref="B41:B42" si="12">B40</f>
        <v>383000</v>
      </c>
      <c r="C41" s="16">
        <f t="shared" ref="C41:BJ41" si="11">B41+C40</f>
        <v>439927.0833</v>
      </c>
      <c r="D41" s="16">
        <f t="shared" si="11"/>
        <v>503806.7822</v>
      </c>
      <c r="E41" s="16">
        <f t="shared" si="11"/>
        <v>581261.1923</v>
      </c>
      <c r="F41" s="16">
        <f t="shared" si="11"/>
        <v>681415.9368</v>
      </c>
      <c r="G41" s="16">
        <f t="shared" si="11"/>
        <v>793057.3596</v>
      </c>
      <c r="H41" s="16">
        <f t="shared" si="11"/>
        <v>917181.1864</v>
      </c>
      <c r="I41" s="16">
        <f t="shared" si="11"/>
        <v>1098867.457</v>
      </c>
      <c r="J41" s="16">
        <f t="shared" si="11"/>
        <v>1269191.673</v>
      </c>
      <c r="K41" s="16">
        <f t="shared" si="11"/>
        <v>1457132.727</v>
      </c>
      <c r="L41" s="16">
        <f t="shared" si="11"/>
        <v>1665921.545</v>
      </c>
      <c r="M41" s="16">
        <f t="shared" si="11"/>
        <v>1897412.022</v>
      </c>
      <c r="N41" s="16">
        <f t="shared" si="11"/>
        <v>2149386.285</v>
      </c>
      <c r="O41" s="16">
        <f t="shared" si="11"/>
        <v>2503761.681</v>
      </c>
      <c r="P41" s="16">
        <f t="shared" si="11"/>
        <v>2906091.593</v>
      </c>
      <c r="Q41" s="16">
        <f t="shared" si="11"/>
        <v>3363830.014</v>
      </c>
      <c r="R41" s="16">
        <f t="shared" si="11"/>
        <v>3892300.211</v>
      </c>
      <c r="S41" s="16">
        <f t="shared" si="11"/>
        <v>4503122.549</v>
      </c>
      <c r="T41" s="16">
        <f t="shared" si="11"/>
        <v>5210814.793</v>
      </c>
      <c r="U41" s="16">
        <f t="shared" si="11"/>
        <v>6060252.126</v>
      </c>
      <c r="V41" s="16">
        <f t="shared" si="11"/>
        <v>7020052.025</v>
      </c>
      <c r="W41" s="16">
        <f t="shared" si="11"/>
        <v>8145424.863</v>
      </c>
      <c r="X41" s="16">
        <f t="shared" si="11"/>
        <v>9473545.424</v>
      </c>
      <c r="Y41" s="16">
        <f t="shared" si="11"/>
        <v>11048256.05</v>
      </c>
      <c r="Z41" s="16">
        <f t="shared" si="11"/>
        <v>12924199.1</v>
      </c>
      <c r="AA41" s="16">
        <f t="shared" si="11"/>
        <v>15176236.44</v>
      </c>
      <c r="AB41" s="16">
        <f t="shared" si="11"/>
        <v>17592421.11</v>
      </c>
      <c r="AC41" s="16">
        <f t="shared" si="11"/>
        <v>20170645.88</v>
      </c>
      <c r="AD41" s="16">
        <f t="shared" si="11"/>
        <v>22917827.39</v>
      </c>
      <c r="AE41" s="16">
        <f t="shared" si="11"/>
        <v>25831860.88</v>
      </c>
      <c r="AF41" s="16">
        <f t="shared" si="11"/>
        <v>28910665.21</v>
      </c>
      <c r="AG41" s="16">
        <f t="shared" si="11"/>
        <v>32179182.53</v>
      </c>
      <c r="AH41" s="16">
        <f t="shared" si="11"/>
        <v>35581378.09</v>
      </c>
      <c r="AI41" s="16">
        <f t="shared" si="11"/>
        <v>39142239.95</v>
      </c>
      <c r="AJ41" s="16">
        <f t="shared" si="11"/>
        <v>42862778.74</v>
      </c>
      <c r="AK41" s="16">
        <f t="shared" si="11"/>
        <v>46741019.92</v>
      </c>
      <c r="AL41" s="16">
        <f t="shared" si="11"/>
        <v>50775011.04</v>
      </c>
      <c r="AM41" s="16">
        <f t="shared" si="11"/>
        <v>54962821.51</v>
      </c>
      <c r="AN41" s="16">
        <f t="shared" si="11"/>
        <v>59302542.37</v>
      </c>
      <c r="AO41" s="16">
        <f t="shared" si="11"/>
        <v>63792286.02</v>
      </c>
      <c r="AP41" s="16">
        <f t="shared" si="11"/>
        <v>68430186.04</v>
      </c>
      <c r="AQ41" s="16">
        <f t="shared" si="11"/>
        <v>73214396.91</v>
      </c>
      <c r="AR41" s="16">
        <f t="shared" si="11"/>
        <v>78143093.78</v>
      </c>
      <c r="AS41" s="16">
        <f t="shared" si="11"/>
        <v>83241472.31</v>
      </c>
      <c r="AT41" s="16">
        <f t="shared" si="11"/>
        <v>88453748.35</v>
      </c>
      <c r="AU41" s="16">
        <f t="shared" si="11"/>
        <v>93805157.8</v>
      </c>
      <c r="AV41" s="16">
        <f t="shared" si="11"/>
        <v>99293956.34</v>
      </c>
      <c r="AW41" s="16">
        <f t="shared" si="11"/>
        <v>104918419.3</v>
      </c>
      <c r="AX41" s="16">
        <f t="shared" si="11"/>
        <v>110676841.2</v>
      </c>
      <c r="AY41" s="16">
        <f t="shared" si="11"/>
        <v>116567535.9</v>
      </c>
      <c r="AZ41" s="16">
        <f t="shared" si="11"/>
        <v>122588836.2</v>
      </c>
      <c r="BA41" s="16">
        <f t="shared" si="11"/>
        <v>128739093.6</v>
      </c>
      <c r="BB41" s="16">
        <f t="shared" si="11"/>
        <v>135016678</v>
      </c>
      <c r="BC41" s="16">
        <f t="shared" si="11"/>
        <v>141419977.8</v>
      </c>
      <c r="BD41" s="16">
        <f t="shared" si="11"/>
        <v>147947399.5</v>
      </c>
      <c r="BE41" s="16">
        <f t="shared" si="11"/>
        <v>154624367.5</v>
      </c>
      <c r="BF41" s="16">
        <f t="shared" si="11"/>
        <v>161395323.9</v>
      </c>
      <c r="BG41" s="16">
        <f t="shared" si="11"/>
        <v>168285728.6</v>
      </c>
      <c r="BH41" s="16">
        <f t="shared" si="11"/>
        <v>175294058.4</v>
      </c>
      <c r="BI41" s="16">
        <f t="shared" si="11"/>
        <v>182418807.6</v>
      </c>
      <c r="BJ41" s="16">
        <f t="shared" si="11"/>
        <v>189658487.5</v>
      </c>
    </row>
    <row r="42">
      <c r="A42" s="26" t="s">
        <v>89</v>
      </c>
      <c r="B42" s="35">
        <f t="shared" si="12"/>
        <v>383000</v>
      </c>
      <c r="C42" s="16">
        <f>N41-B41</f>
        <v>1766386.285</v>
      </c>
      <c r="O42" s="16">
        <f>Z41-N41</f>
        <v>10774812.82</v>
      </c>
      <c r="AA42" s="16">
        <f>AL41-Z41</f>
        <v>37850811.93</v>
      </c>
      <c r="AM42" s="16">
        <f>AX41-AL41</f>
        <v>59901830.16</v>
      </c>
      <c r="AY42" s="16">
        <f>BJ41-AX41</f>
        <v>78981646.28</v>
      </c>
    </row>
    <row r="43">
      <c r="A43" s="2"/>
      <c r="B43" s="31"/>
    </row>
    <row r="44">
      <c r="A44" s="1" t="s">
        <v>33</v>
      </c>
      <c r="B44" s="31"/>
    </row>
    <row r="45">
      <c r="A45" s="26" t="s">
        <v>90</v>
      </c>
      <c r="B45" s="35">
        <f t="shared" ref="B45:BJ45" si="13">B27-B40</f>
        <v>-383000</v>
      </c>
      <c r="C45" s="16">
        <f t="shared" si="13"/>
        <v>-36491.66667</v>
      </c>
      <c r="D45" s="16">
        <f t="shared" si="13"/>
        <v>7950.322607</v>
      </c>
      <c r="E45" s="16">
        <f t="shared" si="13"/>
        <v>52919.9</v>
      </c>
      <c r="F45" s="16">
        <f t="shared" si="13"/>
        <v>137467.9822</v>
      </c>
      <c r="G45" s="16">
        <f t="shared" si="13"/>
        <v>240906.4945</v>
      </c>
      <c r="H45" s="16">
        <f t="shared" si="13"/>
        <v>353007.3177</v>
      </c>
      <c r="I45" s="16">
        <f t="shared" si="13"/>
        <v>437641.8094</v>
      </c>
      <c r="J45" s="16">
        <f t="shared" si="13"/>
        <v>606258.8679</v>
      </c>
      <c r="K45" s="16">
        <f t="shared" si="13"/>
        <v>764706.4335</v>
      </c>
      <c r="L45" s="16">
        <f t="shared" si="13"/>
        <v>963773.5589</v>
      </c>
      <c r="M45" s="16">
        <f t="shared" si="13"/>
        <v>1185878.548</v>
      </c>
      <c r="N45" s="16">
        <f t="shared" si="13"/>
        <v>1444586.261</v>
      </c>
      <c r="O45" s="16">
        <f t="shared" si="13"/>
        <v>1675894.647</v>
      </c>
      <c r="P45" s="16">
        <f t="shared" si="13"/>
        <v>2051371.586</v>
      </c>
      <c r="Q45" s="16">
        <f t="shared" si="13"/>
        <v>2488242.47</v>
      </c>
      <c r="R45" s="16">
        <f t="shared" si="13"/>
        <v>3097304.994</v>
      </c>
      <c r="S45" s="16">
        <f t="shared" si="13"/>
        <v>3800376.391</v>
      </c>
      <c r="T45" s="16">
        <f t="shared" si="13"/>
        <v>4620083.917</v>
      </c>
      <c r="U45" s="16">
        <f t="shared" si="13"/>
        <v>5550856.407</v>
      </c>
      <c r="V45" s="16">
        <f t="shared" si="13"/>
        <v>6714856.855</v>
      </c>
      <c r="W45" s="16">
        <f t="shared" si="13"/>
        <v>8073865.32</v>
      </c>
      <c r="X45" s="16">
        <f t="shared" si="13"/>
        <v>9760181.371</v>
      </c>
      <c r="Y45" s="16">
        <f t="shared" si="13"/>
        <v>11786687.02</v>
      </c>
      <c r="Z45" s="16">
        <f t="shared" si="13"/>
        <v>14234269.16</v>
      </c>
      <c r="AA45" s="16">
        <f t="shared" si="13"/>
        <v>17043420.34</v>
      </c>
      <c r="AB45" s="16">
        <f t="shared" si="13"/>
        <v>20076533.73</v>
      </c>
      <c r="AC45" s="16">
        <f t="shared" si="13"/>
        <v>23072669.88</v>
      </c>
      <c r="AD45" s="16">
        <f t="shared" si="13"/>
        <v>26176216.07</v>
      </c>
      <c r="AE45" s="16">
        <f t="shared" si="13"/>
        <v>29242835.63</v>
      </c>
      <c r="AF45" s="16">
        <f t="shared" si="13"/>
        <v>32272911.62</v>
      </c>
      <c r="AG45" s="16">
        <f t="shared" si="13"/>
        <v>35239823.21</v>
      </c>
      <c r="AH45" s="16">
        <f t="shared" si="13"/>
        <v>38224945.78</v>
      </c>
      <c r="AI45" s="16">
        <f t="shared" si="13"/>
        <v>41147650.88</v>
      </c>
      <c r="AJ45" s="16">
        <f t="shared" si="13"/>
        <v>44113906.33</v>
      </c>
      <c r="AK45" s="16">
        <f t="shared" si="13"/>
        <v>47045279.72</v>
      </c>
      <c r="AL45" s="16">
        <f t="shared" si="13"/>
        <v>49942131.98</v>
      </c>
      <c r="AM45" s="16">
        <f t="shared" si="13"/>
        <v>52804820.36</v>
      </c>
      <c r="AN45" s="16">
        <f t="shared" si="13"/>
        <v>55633698.54</v>
      </c>
      <c r="AO45" s="16">
        <f t="shared" si="13"/>
        <v>58429116.61</v>
      </c>
      <c r="AP45" s="16">
        <f t="shared" si="13"/>
        <v>61191421.14</v>
      </c>
      <c r="AQ45" s="16">
        <f t="shared" si="13"/>
        <v>63920955.2</v>
      </c>
      <c r="AR45" s="16">
        <f t="shared" si="13"/>
        <v>66618058.38</v>
      </c>
      <c r="AS45" s="16">
        <f t="shared" si="13"/>
        <v>69256066.87</v>
      </c>
      <c r="AT45" s="16">
        <f t="shared" si="13"/>
        <v>71916313.45</v>
      </c>
      <c r="AU45" s="16">
        <f t="shared" si="13"/>
        <v>74518127.54</v>
      </c>
      <c r="AV45" s="16">
        <f t="shared" si="13"/>
        <v>77088835.25</v>
      </c>
      <c r="AW45" s="16">
        <f t="shared" si="13"/>
        <v>79628759.37</v>
      </c>
      <c r="AX45" s="16">
        <f t="shared" si="13"/>
        <v>82138219.47</v>
      </c>
      <c r="AY45" s="16">
        <f t="shared" si="13"/>
        <v>84617531.85</v>
      </c>
      <c r="AZ45" s="16">
        <f t="shared" si="13"/>
        <v>87067009.66</v>
      </c>
      <c r="BA45" s="16">
        <f t="shared" si="13"/>
        <v>89486962.85</v>
      </c>
      <c r="BB45" s="16">
        <f t="shared" si="13"/>
        <v>91877698.26</v>
      </c>
      <c r="BC45" s="16">
        <f t="shared" si="13"/>
        <v>94239519.64</v>
      </c>
      <c r="BD45" s="16">
        <f t="shared" si="13"/>
        <v>96572727.65</v>
      </c>
      <c r="BE45" s="16">
        <f t="shared" si="13"/>
        <v>98850619.93</v>
      </c>
      <c r="BF45" s="16">
        <f t="shared" si="13"/>
        <v>101154491.1</v>
      </c>
      <c r="BG45" s="16">
        <f t="shared" si="13"/>
        <v>103403632.8</v>
      </c>
      <c r="BH45" s="16">
        <f t="shared" si="13"/>
        <v>105625333.8</v>
      </c>
      <c r="BI45" s="16">
        <f t="shared" si="13"/>
        <v>107819879.8</v>
      </c>
      <c r="BJ45" s="16">
        <f t="shared" si="13"/>
        <v>109987553.8</v>
      </c>
    </row>
    <row r="46">
      <c r="A46" s="26" t="s">
        <v>59</v>
      </c>
      <c r="B46" s="35">
        <f t="shared" ref="B46:B47" si="15">B45</f>
        <v>-383000</v>
      </c>
      <c r="C46" s="16">
        <f t="shared" ref="C46:BJ46" si="14">B46+C45</f>
        <v>-419491.6667</v>
      </c>
      <c r="D46" s="16">
        <f t="shared" si="14"/>
        <v>-411541.3441</v>
      </c>
      <c r="E46" s="16">
        <f t="shared" si="14"/>
        <v>-358621.4441</v>
      </c>
      <c r="F46" s="16">
        <f t="shared" si="14"/>
        <v>-221153.4618</v>
      </c>
      <c r="G46" s="16">
        <f t="shared" si="14"/>
        <v>19753.0327</v>
      </c>
      <c r="H46" s="16">
        <f t="shared" si="14"/>
        <v>372760.3504</v>
      </c>
      <c r="I46" s="16">
        <f t="shared" si="14"/>
        <v>810402.1598</v>
      </c>
      <c r="J46" s="16">
        <f t="shared" si="14"/>
        <v>1416661.028</v>
      </c>
      <c r="K46" s="16">
        <f t="shared" si="14"/>
        <v>2181367.461</v>
      </c>
      <c r="L46" s="16">
        <f t="shared" si="14"/>
        <v>3145141.02</v>
      </c>
      <c r="M46" s="16">
        <f t="shared" si="14"/>
        <v>4331019.568</v>
      </c>
      <c r="N46" s="16">
        <f t="shared" si="14"/>
        <v>5775605.829</v>
      </c>
      <c r="O46" s="16">
        <f t="shared" si="14"/>
        <v>7451500.476</v>
      </c>
      <c r="P46" s="16">
        <f t="shared" si="14"/>
        <v>9502872.062</v>
      </c>
      <c r="Q46" s="16">
        <f t="shared" si="14"/>
        <v>11991114.53</v>
      </c>
      <c r="R46" s="16">
        <f t="shared" si="14"/>
        <v>15088419.53</v>
      </c>
      <c r="S46" s="16">
        <f t="shared" si="14"/>
        <v>18888795.92</v>
      </c>
      <c r="T46" s="16">
        <f t="shared" si="14"/>
        <v>23508879.83</v>
      </c>
      <c r="U46" s="16">
        <f t="shared" si="14"/>
        <v>29059736.24</v>
      </c>
      <c r="V46" s="16">
        <f t="shared" si="14"/>
        <v>35774593.1</v>
      </c>
      <c r="W46" s="16">
        <f t="shared" si="14"/>
        <v>43848458.42</v>
      </c>
      <c r="X46" s="16">
        <f t="shared" si="14"/>
        <v>53608639.79</v>
      </c>
      <c r="Y46" s="16">
        <f t="shared" si="14"/>
        <v>65395326.81</v>
      </c>
      <c r="Z46" s="16">
        <f t="shared" si="14"/>
        <v>79629595.97</v>
      </c>
      <c r="AA46" s="16">
        <f t="shared" si="14"/>
        <v>96673016.3</v>
      </c>
      <c r="AB46" s="16">
        <f t="shared" si="14"/>
        <v>116749550</v>
      </c>
      <c r="AC46" s="16">
        <f t="shared" si="14"/>
        <v>139822219.9</v>
      </c>
      <c r="AD46" s="16">
        <f t="shared" si="14"/>
        <v>165998436</v>
      </c>
      <c r="AE46" s="16">
        <f t="shared" si="14"/>
        <v>195241271.6</v>
      </c>
      <c r="AF46" s="16">
        <f t="shared" si="14"/>
        <v>227514183.2</v>
      </c>
      <c r="AG46" s="16">
        <f t="shared" si="14"/>
        <v>262754006.4</v>
      </c>
      <c r="AH46" s="16">
        <f t="shared" si="14"/>
        <v>300978952.2</v>
      </c>
      <c r="AI46" s="16">
        <f t="shared" si="14"/>
        <v>342126603.1</v>
      </c>
      <c r="AJ46" s="16">
        <f t="shared" si="14"/>
        <v>386240509.4</v>
      </c>
      <c r="AK46" s="16">
        <f t="shared" si="14"/>
        <v>433285789.2</v>
      </c>
      <c r="AL46" s="16">
        <f t="shared" si="14"/>
        <v>483227921.1</v>
      </c>
      <c r="AM46" s="16">
        <f t="shared" si="14"/>
        <v>536032741.5</v>
      </c>
      <c r="AN46" s="16">
        <f t="shared" si="14"/>
        <v>591666440</v>
      </c>
      <c r="AO46" s="16">
        <f t="shared" si="14"/>
        <v>650095556.7</v>
      </c>
      <c r="AP46" s="16">
        <f t="shared" si="14"/>
        <v>711286977.8</v>
      </c>
      <c r="AQ46" s="16">
        <f t="shared" si="14"/>
        <v>775207933</v>
      </c>
      <c r="AR46" s="16">
        <f t="shared" si="14"/>
        <v>841825991.4</v>
      </c>
      <c r="AS46" s="16">
        <f t="shared" si="14"/>
        <v>911082058.3</v>
      </c>
      <c r="AT46" s="16">
        <f t="shared" si="14"/>
        <v>982998371.7</v>
      </c>
      <c r="AU46" s="16">
        <f t="shared" si="14"/>
        <v>1057516499</v>
      </c>
      <c r="AV46" s="16">
        <f t="shared" si="14"/>
        <v>1134605334</v>
      </c>
      <c r="AW46" s="16">
        <f t="shared" si="14"/>
        <v>1214234094</v>
      </c>
      <c r="AX46" s="16">
        <f t="shared" si="14"/>
        <v>1296372313</v>
      </c>
      <c r="AY46" s="16">
        <f t="shared" si="14"/>
        <v>1380989845</v>
      </c>
      <c r="AZ46" s="16">
        <f t="shared" si="14"/>
        <v>1468056855</v>
      </c>
      <c r="BA46" s="16">
        <f t="shared" si="14"/>
        <v>1557543818</v>
      </c>
      <c r="BB46" s="16">
        <f t="shared" si="14"/>
        <v>1649421516</v>
      </c>
      <c r="BC46" s="16">
        <f t="shared" si="14"/>
        <v>1743661036</v>
      </c>
      <c r="BD46" s="16">
        <f t="shared" si="14"/>
        <v>1840233763</v>
      </c>
      <c r="BE46" s="16">
        <f t="shared" si="14"/>
        <v>1939084383</v>
      </c>
      <c r="BF46" s="16">
        <f t="shared" si="14"/>
        <v>2040238874</v>
      </c>
      <c r="BG46" s="16">
        <f t="shared" si="14"/>
        <v>2143642507</v>
      </c>
      <c r="BH46" s="16">
        <f t="shared" si="14"/>
        <v>2249267841</v>
      </c>
      <c r="BI46" s="16">
        <f t="shared" si="14"/>
        <v>2357087721</v>
      </c>
      <c r="BJ46" s="16">
        <f t="shared" si="14"/>
        <v>2467075275</v>
      </c>
    </row>
    <row r="47">
      <c r="A47" s="26" t="s">
        <v>91</v>
      </c>
      <c r="B47" s="35">
        <f t="shared" si="15"/>
        <v>-383000</v>
      </c>
      <c r="C47" s="16">
        <f>N46-B46</f>
        <v>6158605.829</v>
      </c>
      <c r="O47" s="16">
        <f>Z46-N46</f>
        <v>73853990.14</v>
      </c>
      <c r="AA47" s="16">
        <f>AL46-Z46</f>
        <v>403598325.2</v>
      </c>
      <c r="AM47" s="16">
        <f>AX46-AL46</f>
        <v>813144392.2</v>
      </c>
      <c r="AY47" s="16">
        <f>BJ46-AX46</f>
        <v>1170702961</v>
      </c>
    </row>
  </sheetData>
  <mergeCells count="21">
    <mergeCell ref="AM29:AX29"/>
    <mergeCell ref="AY29:BJ29"/>
    <mergeCell ref="B1:B2"/>
    <mergeCell ref="C1:N1"/>
    <mergeCell ref="O1:Z1"/>
    <mergeCell ref="AA1:AL1"/>
    <mergeCell ref="AM1:AX1"/>
    <mergeCell ref="AY1:BJ1"/>
    <mergeCell ref="C29:N29"/>
    <mergeCell ref="C47:N47"/>
    <mergeCell ref="O47:Z47"/>
    <mergeCell ref="AA47:AL47"/>
    <mergeCell ref="AM47:AX47"/>
    <mergeCell ref="AY47:BJ47"/>
    <mergeCell ref="O29:Z29"/>
    <mergeCell ref="AA29:AL29"/>
    <mergeCell ref="C42:N42"/>
    <mergeCell ref="O42:Z42"/>
    <mergeCell ref="AA42:AL42"/>
    <mergeCell ref="AM42:AX42"/>
    <mergeCell ref="AY42:BJ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3" max="3" width="10.38"/>
    <col customWidth="1" min="4" max="4" width="6.88"/>
    <col customWidth="1" min="5" max="5" width="34.88"/>
    <col customWidth="1" min="6" max="6" width="15.38"/>
    <col customWidth="1" min="7" max="7" width="23.88"/>
  </cols>
  <sheetData>
    <row r="1">
      <c r="A1" s="1" t="s">
        <v>92</v>
      </c>
      <c r="B1" s="1" t="s">
        <v>93</v>
      </c>
      <c r="C1" s="58" t="s">
        <v>94</v>
      </c>
      <c r="D1" s="58" t="s">
        <v>95</v>
      </c>
      <c r="E1" s="1" t="s">
        <v>96</v>
      </c>
      <c r="F1" s="1" t="s">
        <v>97</v>
      </c>
      <c r="G1" s="1" t="s">
        <v>98</v>
      </c>
    </row>
    <row r="2">
      <c r="A2" s="59" t="s">
        <v>99</v>
      </c>
      <c r="B2" s="60"/>
      <c r="C2" s="61"/>
      <c r="D2" s="61"/>
    </row>
    <row r="3">
      <c r="A3" s="62" t="s">
        <v>100</v>
      </c>
      <c r="B3" s="63" t="s">
        <v>101</v>
      </c>
      <c r="C3" s="61"/>
      <c r="D3" s="61"/>
      <c r="F3" s="64" t="s">
        <v>102</v>
      </c>
    </row>
    <row r="4">
      <c r="A4" s="64" t="s">
        <v>103</v>
      </c>
      <c r="B4" s="43">
        <v>6.0</v>
      </c>
      <c r="C4" s="65"/>
      <c r="D4" s="65"/>
      <c r="F4" s="64" t="s">
        <v>104</v>
      </c>
    </row>
    <row r="5">
      <c r="A5" s="64" t="s">
        <v>8</v>
      </c>
      <c r="B5" s="66">
        <f>Summary!B9</f>
        <v>0.1</v>
      </c>
      <c r="C5" s="65"/>
      <c r="D5" s="65"/>
      <c r="F5" s="64" t="s">
        <v>104</v>
      </c>
    </row>
    <row r="6">
      <c r="A6" s="64"/>
      <c r="B6" s="43"/>
      <c r="C6" s="65"/>
      <c r="D6" s="65"/>
    </row>
    <row r="7">
      <c r="A7" s="39" t="s">
        <v>82</v>
      </c>
      <c r="B7" s="43"/>
      <c r="C7" s="65"/>
      <c r="D7" s="65"/>
    </row>
    <row r="8">
      <c r="A8" s="64" t="s">
        <v>1</v>
      </c>
      <c r="B8" s="43">
        <f>Summary!B2</f>
        <v>10</v>
      </c>
      <c r="C8" s="65"/>
      <c r="D8" s="65"/>
      <c r="F8" s="64" t="s">
        <v>102</v>
      </c>
    </row>
    <row r="9">
      <c r="A9" s="64" t="s">
        <v>5</v>
      </c>
      <c r="B9" s="45">
        <f>Summary!B6</f>
        <v>5</v>
      </c>
      <c r="C9" s="65"/>
      <c r="D9" s="65"/>
      <c r="F9" s="64" t="s">
        <v>104</v>
      </c>
    </row>
    <row r="10">
      <c r="A10" s="64" t="s">
        <v>6</v>
      </c>
      <c r="B10" s="45">
        <f>Summary!B7</f>
        <v>3</v>
      </c>
      <c r="C10" s="65"/>
      <c r="D10" s="65"/>
      <c r="F10" s="64" t="s">
        <v>104</v>
      </c>
    </row>
    <row r="11">
      <c r="A11" s="64" t="s">
        <v>7</v>
      </c>
      <c r="B11" s="45">
        <f>Summary!B8</f>
        <v>1</v>
      </c>
      <c r="C11" s="65"/>
      <c r="D11" s="65"/>
      <c r="F11" s="64" t="s">
        <v>104</v>
      </c>
    </row>
    <row r="12">
      <c r="C12" s="65"/>
      <c r="D12" s="65"/>
    </row>
    <row r="13">
      <c r="A13" s="59" t="s">
        <v>50</v>
      </c>
      <c r="B13" s="54"/>
      <c r="C13" s="67"/>
      <c r="D13" s="67"/>
      <c r="E13" s="64"/>
      <c r="G13" s="64"/>
    </row>
    <row r="14">
      <c r="A14" s="68" t="s">
        <v>11</v>
      </c>
      <c r="B14" s="69">
        <f>Summary!B12</f>
        <v>1</v>
      </c>
      <c r="C14" s="67"/>
      <c r="D14" s="67"/>
      <c r="E14" s="64" t="s">
        <v>105</v>
      </c>
      <c r="F14" s="64" t="s">
        <v>102</v>
      </c>
      <c r="G14" s="64"/>
    </row>
    <row r="15">
      <c r="A15" s="62" t="s">
        <v>12</v>
      </c>
      <c r="B15" s="54">
        <f>Summary!B13</f>
        <v>5000</v>
      </c>
      <c r="C15" s="67"/>
      <c r="D15" s="67"/>
      <c r="F15" s="64" t="s">
        <v>102</v>
      </c>
      <c r="G15" s="64"/>
    </row>
    <row r="16">
      <c r="A16" s="62" t="s">
        <v>13</v>
      </c>
      <c r="B16" s="70">
        <f>Summary!B14</f>
        <v>0.25</v>
      </c>
      <c r="C16" s="67"/>
      <c r="D16" s="67"/>
      <c r="E16" s="64" t="s">
        <v>106</v>
      </c>
      <c r="F16" s="64" t="s">
        <v>102</v>
      </c>
      <c r="G16" s="64"/>
    </row>
    <row r="17">
      <c r="A17" s="62" t="s">
        <v>14</v>
      </c>
      <c r="B17" s="54">
        <f>Summary!B15</f>
        <v>1000000</v>
      </c>
      <c r="C17" s="67"/>
      <c r="D17" s="67"/>
      <c r="E17" s="64" t="s">
        <v>107</v>
      </c>
      <c r="F17" s="64" t="s">
        <v>102</v>
      </c>
      <c r="G17" s="64"/>
    </row>
    <row r="18">
      <c r="A18" s="64" t="s">
        <v>9</v>
      </c>
      <c r="B18" s="66">
        <f>Summary!B10</f>
        <v>0.1</v>
      </c>
      <c r="C18" s="65"/>
      <c r="D18" s="65"/>
      <c r="E18" s="64" t="s">
        <v>108</v>
      </c>
      <c r="F18" s="64" t="s">
        <v>102</v>
      </c>
    </row>
    <row r="19">
      <c r="A19" s="64" t="s">
        <v>10</v>
      </c>
      <c r="B19" s="66">
        <f>Summary!B11</f>
        <v>0.1</v>
      </c>
      <c r="C19" s="65"/>
      <c r="D19" s="65"/>
      <c r="E19" s="64" t="s">
        <v>109</v>
      </c>
      <c r="F19" s="64" t="s">
        <v>102</v>
      </c>
    </row>
    <row r="20">
      <c r="A20" s="64" t="s">
        <v>110</v>
      </c>
      <c r="B20" s="66">
        <f>1-B18-B19</f>
        <v>0.8</v>
      </c>
      <c r="C20" s="65"/>
      <c r="D20" s="65"/>
      <c r="E20" s="64" t="s">
        <v>111</v>
      </c>
      <c r="F20" s="64" t="s">
        <v>112</v>
      </c>
    </row>
    <row r="21">
      <c r="A21" s="68" t="s">
        <v>15</v>
      </c>
      <c r="B21" s="54">
        <f>Summary!B16</f>
        <v>800</v>
      </c>
      <c r="C21" s="67"/>
      <c r="D21" s="67"/>
      <c r="E21" s="64" t="s">
        <v>113</v>
      </c>
      <c r="F21" s="64" t="s">
        <v>104</v>
      </c>
      <c r="G21" s="64"/>
    </row>
    <row r="22">
      <c r="A22" s="68" t="s">
        <v>16</v>
      </c>
      <c r="B22" s="54">
        <f>Summary!B17</f>
        <v>1200</v>
      </c>
      <c r="C22" s="67"/>
      <c r="D22" s="67"/>
      <c r="E22" s="64" t="s">
        <v>114</v>
      </c>
      <c r="F22" s="64" t="s">
        <v>104</v>
      </c>
      <c r="G22" s="64"/>
    </row>
    <row r="23">
      <c r="A23" s="68" t="s">
        <v>17</v>
      </c>
      <c r="B23" s="54">
        <f>Summary!B18</f>
        <v>1500</v>
      </c>
      <c r="C23" s="67"/>
      <c r="D23" s="67"/>
      <c r="E23" s="64" t="s">
        <v>115</v>
      </c>
      <c r="F23" s="64" t="s">
        <v>104</v>
      </c>
      <c r="G23" s="64"/>
    </row>
    <row r="24">
      <c r="A24" s="62" t="s">
        <v>18</v>
      </c>
      <c r="B24" s="71">
        <f>Summary!B19</f>
        <v>0.01</v>
      </c>
      <c r="C24" s="67"/>
      <c r="D24" s="67"/>
      <c r="E24" s="64" t="s">
        <v>116</v>
      </c>
      <c r="F24" s="64" t="s">
        <v>104</v>
      </c>
      <c r="G24" s="64"/>
    </row>
    <row r="25">
      <c r="A25" s="68" t="s">
        <v>19</v>
      </c>
      <c r="B25" s="72">
        <f>Summary!B20</f>
        <v>2</v>
      </c>
      <c r="C25" s="67"/>
      <c r="D25" s="67"/>
      <c r="E25" s="64" t="s">
        <v>117</v>
      </c>
      <c r="F25" s="64" t="s">
        <v>104</v>
      </c>
      <c r="G25" s="64"/>
    </row>
    <row r="26">
      <c r="A26" s="68" t="s">
        <v>20</v>
      </c>
      <c r="B26" s="73">
        <f>Summary!B21</f>
        <v>0.01</v>
      </c>
      <c r="C26" s="67"/>
      <c r="D26" s="67"/>
      <c r="E26" s="64" t="s">
        <v>118</v>
      </c>
      <c r="F26" s="64" t="s">
        <v>104</v>
      </c>
      <c r="G26" s="64"/>
    </row>
    <row r="27">
      <c r="A27" s="68" t="s">
        <v>21</v>
      </c>
      <c r="B27" s="73">
        <f>Summary!B22</f>
        <v>0.005</v>
      </c>
      <c r="C27" s="67"/>
      <c r="D27" s="67"/>
      <c r="E27" s="64" t="s">
        <v>119</v>
      </c>
      <c r="F27" s="64" t="s">
        <v>104</v>
      </c>
      <c r="G27" s="64"/>
    </row>
    <row r="28">
      <c r="A28" s="68" t="s">
        <v>22</v>
      </c>
      <c r="B28" s="73">
        <f>Summary!B23</f>
        <v>0.0025</v>
      </c>
      <c r="C28" s="67"/>
      <c r="D28" s="67"/>
      <c r="E28" s="64" t="s">
        <v>120</v>
      </c>
      <c r="F28" s="64" t="s">
        <v>104</v>
      </c>
      <c r="G28" s="64"/>
    </row>
    <row r="29">
      <c r="C29" s="65"/>
      <c r="D29" s="65"/>
    </row>
    <row r="30">
      <c r="A30" s="39" t="s">
        <v>51</v>
      </c>
      <c r="C30" s="65"/>
      <c r="D30" s="65"/>
    </row>
    <row r="31">
      <c r="A31" s="64" t="s">
        <v>121</v>
      </c>
      <c r="B31" s="53">
        <v>2000.0</v>
      </c>
      <c r="C31" s="43"/>
      <c r="D31" s="43"/>
      <c r="E31" s="64" t="s">
        <v>122</v>
      </c>
      <c r="F31" s="64" t="s">
        <v>104</v>
      </c>
      <c r="G31" s="64"/>
    </row>
    <row r="32">
      <c r="A32" s="64" t="s">
        <v>123</v>
      </c>
      <c r="B32" s="66">
        <v>0.01</v>
      </c>
      <c r="C32" s="43"/>
      <c r="D32" s="43"/>
      <c r="E32" s="64" t="s">
        <v>124</v>
      </c>
      <c r="F32" s="64" t="s">
        <v>104</v>
      </c>
      <c r="G32" s="64"/>
    </row>
    <row r="33">
      <c r="A33" s="64" t="s">
        <v>125</v>
      </c>
      <c r="B33" s="53">
        <v>250.0</v>
      </c>
      <c r="C33" s="43"/>
      <c r="D33" s="43"/>
      <c r="E33" s="64" t="s">
        <v>126</v>
      </c>
      <c r="F33" s="64" t="s">
        <v>104</v>
      </c>
      <c r="G33" s="64"/>
    </row>
    <row r="34">
      <c r="C34" s="65"/>
      <c r="D34" s="65"/>
    </row>
    <row r="35">
      <c r="A35" s="39" t="s">
        <v>52</v>
      </c>
      <c r="C35" s="65"/>
      <c r="D35" s="65"/>
    </row>
    <row r="36">
      <c r="A36" s="64" t="s">
        <v>127</v>
      </c>
      <c r="B36" s="53">
        <v>6000.0</v>
      </c>
      <c r="C36" s="43">
        <v>0.0</v>
      </c>
      <c r="D36" s="43">
        <v>12.0</v>
      </c>
      <c r="E36" s="64" t="s">
        <v>128</v>
      </c>
      <c r="F36" s="64" t="s">
        <v>102</v>
      </c>
      <c r="G36" s="64"/>
    </row>
    <row r="37">
      <c r="A37" s="64" t="s">
        <v>129</v>
      </c>
      <c r="B37" s="53">
        <v>10000.0</v>
      </c>
      <c r="C37" s="43">
        <v>13.0</v>
      </c>
      <c r="D37" s="43"/>
      <c r="E37" s="64" t="s">
        <v>130</v>
      </c>
      <c r="F37" s="64" t="s">
        <v>102</v>
      </c>
      <c r="G37" s="64"/>
    </row>
    <row r="38">
      <c r="A38" s="64" t="s">
        <v>131</v>
      </c>
      <c r="B38" s="53">
        <v>8000.0</v>
      </c>
      <c r="C38" s="43">
        <v>1.0</v>
      </c>
      <c r="D38" s="43"/>
      <c r="E38" s="64" t="s">
        <v>132</v>
      </c>
      <c r="F38" s="64" t="s">
        <v>102</v>
      </c>
      <c r="G38" s="64"/>
    </row>
    <row r="39">
      <c r="A39" s="64" t="s">
        <v>133</v>
      </c>
      <c r="B39" s="53">
        <v>5000.0</v>
      </c>
      <c r="C39" s="43">
        <v>0.0</v>
      </c>
      <c r="D39" s="43"/>
      <c r="E39" s="64"/>
      <c r="F39" s="64" t="s">
        <v>102</v>
      </c>
      <c r="G39" s="64"/>
    </row>
    <row r="40">
      <c r="A40" s="64" t="s">
        <v>134</v>
      </c>
      <c r="B40" s="53">
        <v>6000.0</v>
      </c>
      <c r="C40" s="43">
        <v>4.0</v>
      </c>
      <c r="D40" s="43"/>
      <c r="E40" s="64" t="s">
        <v>135</v>
      </c>
      <c r="F40" s="64" t="s">
        <v>102</v>
      </c>
      <c r="G40" s="64"/>
    </row>
    <row r="41">
      <c r="A41" s="64" t="s">
        <v>136</v>
      </c>
      <c r="B41" s="53">
        <v>6000.0</v>
      </c>
      <c r="C41" s="43">
        <v>4.0</v>
      </c>
      <c r="D41" s="43"/>
      <c r="E41" s="64" t="s">
        <v>137</v>
      </c>
      <c r="F41" s="64" t="s">
        <v>102</v>
      </c>
      <c r="G41" s="64"/>
    </row>
    <row r="42">
      <c r="A42" s="64" t="s">
        <v>138</v>
      </c>
      <c r="B42" s="53">
        <v>6000.0</v>
      </c>
      <c r="C42" s="43">
        <v>7.0</v>
      </c>
      <c r="D42" s="43"/>
      <c r="E42" s="64" t="s">
        <v>139</v>
      </c>
      <c r="F42" s="64" t="s">
        <v>102</v>
      </c>
      <c r="G42" s="64"/>
    </row>
    <row r="43">
      <c r="A43" s="64" t="s">
        <v>140</v>
      </c>
      <c r="B43" s="53">
        <v>6000.0</v>
      </c>
      <c r="C43" s="43">
        <v>1.0</v>
      </c>
      <c r="D43" s="43"/>
      <c r="E43" s="64" t="s">
        <v>141</v>
      </c>
      <c r="F43" s="64" t="s">
        <v>102</v>
      </c>
      <c r="G43" s="64"/>
    </row>
    <row r="44">
      <c r="A44" s="64" t="s">
        <v>142</v>
      </c>
      <c r="B44" s="53">
        <v>6000.0</v>
      </c>
      <c r="C44" s="43">
        <v>3.0</v>
      </c>
      <c r="D44" s="43"/>
      <c r="E44" s="64"/>
      <c r="F44" s="64" t="s">
        <v>102</v>
      </c>
      <c r="G44" s="64"/>
    </row>
    <row r="45">
      <c r="A45" s="64" t="s">
        <v>143</v>
      </c>
      <c r="B45" s="53">
        <v>4000.0</v>
      </c>
      <c r="C45" s="43">
        <v>13.0</v>
      </c>
      <c r="D45" s="43"/>
      <c r="E45" s="64" t="s">
        <v>144</v>
      </c>
      <c r="F45" s="64" t="s">
        <v>102</v>
      </c>
      <c r="G45" s="64"/>
    </row>
    <row r="46">
      <c r="A46" s="64" t="s">
        <v>145</v>
      </c>
      <c r="B46" s="53">
        <v>2000.0</v>
      </c>
      <c r="C46" s="43">
        <v>0.0</v>
      </c>
      <c r="D46" s="43">
        <v>1.0</v>
      </c>
      <c r="E46" s="64" t="s">
        <v>146</v>
      </c>
      <c r="F46" s="64" t="s">
        <v>102</v>
      </c>
      <c r="G46" s="64"/>
    </row>
    <row r="47">
      <c r="A47" s="64" t="s">
        <v>147</v>
      </c>
      <c r="B47" s="53">
        <v>4000.0</v>
      </c>
      <c r="C47" s="43">
        <v>7.0</v>
      </c>
      <c r="D47" s="43"/>
      <c r="E47" s="64" t="s">
        <v>148</v>
      </c>
      <c r="F47" s="64" t="s">
        <v>102</v>
      </c>
      <c r="G47" s="64"/>
    </row>
    <row r="48">
      <c r="A48" s="64" t="s">
        <v>149</v>
      </c>
      <c r="B48" s="53">
        <v>5000.0</v>
      </c>
      <c r="C48" s="43">
        <v>13.0</v>
      </c>
      <c r="D48" s="43"/>
      <c r="E48" s="64" t="s">
        <v>150</v>
      </c>
      <c r="F48" s="64" t="s">
        <v>102</v>
      </c>
      <c r="G48" s="64"/>
    </row>
    <row r="49">
      <c r="A49" s="64" t="s">
        <v>151</v>
      </c>
      <c r="B49" s="53">
        <v>3500.0</v>
      </c>
      <c r="C49" s="43">
        <v>1.0</v>
      </c>
      <c r="D49" s="43"/>
      <c r="E49" s="64" t="s">
        <v>152</v>
      </c>
      <c r="F49" s="64" t="s">
        <v>102</v>
      </c>
      <c r="G49" s="64"/>
    </row>
    <row r="50">
      <c r="A50" s="64" t="s">
        <v>153</v>
      </c>
      <c r="B50" s="53">
        <v>3500.0</v>
      </c>
      <c r="C50" s="43">
        <v>13.0</v>
      </c>
      <c r="D50" s="43"/>
      <c r="E50" s="64" t="s">
        <v>154</v>
      </c>
      <c r="F50" s="64" t="s">
        <v>102</v>
      </c>
      <c r="G50" s="64"/>
    </row>
    <row r="51">
      <c r="A51" s="64" t="s">
        <v>155</v>
      </c>
      <c r="B51" s="53">
        <v>2500.0</v>
      </c>
      <c r="C51" s="43">
        <v>1.0</v>
      </c>
      <c r="D51" s="43">
        <v>6.0</v>
      </c>
      <c r="E51" s="64" t="s">
        <v>156</v>
      </c>
      <c r="F51" s="64" t="s">
        <v>102</v>
      </c>
      <c r="G51" s="64"/>
    </row>
    <row r="52">
      <c r="A52" s="64" t="s">
        <v>157</v>
      </c>
      <c r="B52" s="53">
        <v>5000.0</v>
      </c>
      <c r="C52" s="43">
        <v>7.0</v>
      </c>
      <c r="D52" s="43"/>
      <c r="E52" s="64" t="s">
        <v>158</v>
      </c>
      <c r="F52" s="64" t="s">
        <v>102</v>
      </c>
      <c r="G52" s="64"/>
    </row>
    <row r="53">
      <c r="A53" s="64" t="s">
        <v>159</v>
      </c>
      <c r="B53" s="53">
        <f>6000*Summary!B3</f>
        <v>12000</v>
      </c>
      <c r="C53" s="43">
        <v>1.0</v>
      </c>
      <c r="D53" s="43"/>
      <c r="E53" s="64" t="s">
        <v>160</v>
      </c>
      <c r="F53" s="64" t="s">
        <v>102</v>
      </c>
      <c r="G53" s="64"/>
    </row>
    <row r="54">
      <c r="A54" s="64" t="s">
        <v>161</v>
      </c>
      <c r="B54" s="53">
        <f>6000*Summary!B4</f>
        <v>48000</v>
      </c>
      <c r="C54" s="43">
        <v>13.0</v>
      </c>
      <c r="D54" s="43"/>
      <c r="E54" s="64" t="s">
        <v>162</v>
      </c>
      <c r="F54" s="64" t="s">
        <v>102</v>
      </c>
      <c r="G54" s="64"/>
    </row>
    <row r="55">
      <c r="A55" s="64" t="s">
        <v>163</v>
      </c>
      <c r="B55" s="53">
        <f>6000*Summary!B5</f>
        <v>72000</v>
      </c>
      <c r="C55" s="43">
        <v>25.0</v>
      </c>
      <c r="D55" s="43"/>
      <c r="E55" s="64" t="s">
        <v>164</v>
      </c>
      <c r="F55" s="64" t="s">
        <v>102</v>
      </c>
      <c r="G55" s="64"/>
    </row>
    <row r="56">
      <c r="A56" s="64" t="s">
        <v>165</v>
      </c>
      <c r="B56" s="53">
        <v>4000.0</v>
      </c>
      <c r="C56" s="43">
        <v>7.0</v>
      </c>
      <c r="D56" s="43"/>
      <c r="E56" s="64" t="s">
        <v>166</v>
      </c>
      <c r="F56" s="64" t="s">
        <v>102</v>
      </c>
      <c r="G56" s="64"/>
    </row>
    <row r="57">
      <c r="A57" s="64" t="s">
        <v>167</v>
      </c>
      <c r="B57" s="53">
        <v>1500.0</v>
      </c>
      <c r="C57" s="43">
        <v>1.0</v>
      </c>
      <c r="D57" s="43"/>
      <c r="E57" s="64" t="s">
        <v>168</v>
      </c>
      <c r="F57" s="64" t="s">
        <v>102</v>
      </c>
      <c r="G57" s="64"/>
    </row>
    <row r="58">
      <c r="A58" s="64"/>
      <c r="B58" s="16"/>
      <c r="C58" s="65"/>
      <c r="D58" s="65"/>
    </row>
    <row r="59">
      <c r="A59" s="39" t="s">
        <v>53</v>
      </c>
      <c r="B59" s="16"/>
      <c r="C59" s="65"/>
      <c r="D59" s="65"/>
    </row>
    <row r="60">
      <c r="A60" s="64" t="s">
        <v>169</v>
      </c>
      <c r="B60" s="53">
        <v>250000.0</v>
      </c>
      <c r="C60" s="43">
        <v>0.0</v>
      </c>
      <c r="D60" s="43">
        <v>1.0</v>
      </c>
      <c r="E60" s="64" t="s">
        <v>170</v>
      </c>
      <c r="F60" s="64" t="s">
        <v>104</v>
      </c>
      <c r="G60" s="64"/>
    </row>
    <row r="61">
      <c r="A61" s="64" t="s">
        <v>171</v>
      </c>
      <c r="B61" s="53">
        <v>0.0</v>
      </c>
      <c r="C61" s="43"/>
      <c r="D61" s="43"/>
      <c r="E61" s="64" t="s">
        <v>172</v>
      </c>
      <c r="F61" s="64" t="s">
        <v>102</v>
      </c>
      <c r="G61" s="64"/>
    </row>
    <row r="62">
      <c r="A62" s="64" t="s">
        <v>173</v>
      </c>
      <c r="B62" s="53">
        <v>10000.0</v>
      </c>
      <c r="C62" s="43">
        <v>0.0</v>
      </c>
      <c r="D62" s="43">
        <v>1.0</v>
      </c>
      <c r="E62" s="64" t="s">
        <v>174</v>
      </c>
      <c r="F62" s="64" t="s">
        <v>104</v>
      </c>
      <c r="G62" s="64"/>
    </row>
    <row r="63">
      <c r="A63" s="64" t="s">
        <v>175</v>
      </c>
      <c r="B63" s="53">
        <v>10000.0</v>
      </c>
      <c r="C63" s="43">
        <v>0.0</v>
      </c>
      <c r="D63" s="43">
        <v>1.0</v>
      </c>
      <c r="E63" s="64" t="s">
        <v>176</v>
      </c>
      <c r="F63" s="64" t="s">
        <v>104</v>
      </c>
      <c r="G63" s="64"/>
    </row>
    <row r="64">
      <c r="A64" s="64" t="s">
        <v>177</v>
      </c>
      <c r="B64" s="53">
        <v>1000.0</v>
      </c>
      <c r="C64" s="43">
        <v>1.0</v>
      </c>
      <c r="D64" s="43"/>
      <c r="E64" s="64" t="s">
        <v>178</v>
      </c>
      <c r="F64" s="64" t="s">
        <v>104</v>
      </c>
      <c r="G64" s="64"/>
    </row>
    <row r="65">
      <c r="A65" s="64" t="s">
        <v>179</v>
      </c>
      <c r="B65" s="53">
        <v>500.0</v>
      </c>
      <c r="C65" s="43">
        <v>1.0</v>
      </c>
      <c r="D65" s="43"/>
      <c r="E65" s="64" t="s">
        <v>180</v>
      </c>
      <c r="F65" s="64" t="s">
        <v>104</v>
      </c>
      <c r="G65" s="64"/>
    </row>
    <row r="66">
      <c r="A66" s="64" t="s">
        <v>181</v>
      </c>
      <c r="B66" s="53">
        <v>2000.0</v>
      </c>
      <c r="C66" s="43">
        <v>0.0</v>
      </c>
      <c r="D66" s="43">
        <v>1.0</v>
      </c>
      <c r="E66" s="64" t="s">
        <v>182</v>
      </c>
      <c r="F66" s="64" t="s">
        <v>104</v>
      </c>
      <c r="G66" s="64"/>
    </row>
    <row r="67">
      <c r="A67" s="64" t="s">
        <v>183</v>
      </c>
      <c r="B67" s="53">
        <v>2000.0</v>
      </c>
      <c r="C67" s="43">
        <v>13.0</v>
      </c>
      <c r="D67" s="43">
        <v>1.0</v>
      </c>
      <c r="E67" s="64" t="s">
        <v>184</v>
      </c>
      <c r="F67" s="64" t="s">
        <v>104</v>
      </c>
      <c r="G67" s="64"/>
    </row>
    <row r="68">
      <c r="A68" s="64"/>
      <c r="B68" s="16"/>
      <c r="C68" s="65"/>
      <c r="D68" s="65"/>
    </row>
    <row r="69">
      <c r="A69" s="39" t="s">
        <v>54</v>
      </c>
      <c r="B69" s="16"/>
      <c r="C69" s="65"/>
      <c r="D69" s="65"/>
    </row>
    <row r="70">
      <c r="A70" s="64" t="s">
        <v>185</v>
      </c>
      <c r="B70" s="53">
        <v>1000.0</v>
      </c>
      <c r="C70" s="43">
        <v>0.0</v>
      </c>
      <c r="D70" s="43"/>
      <c r="E70" s="64" t="s">
        <v>186</v>
      </c>
      <c r="F70" s="64" t="s">
        <v>104</v>
      </c>
      <c r="G70" s="64"/>
    </row>
    <row r="71">
      <c r="A71" s="64" t="s">
        <v>187</v>
      </c>
      <c r="B71" s="16">
        <f>20000*1.35</f>
        <v>27000</v>
      </c>
      <c r="C71" s="43">
        <v>0.0</v>
      </c>
      <c r="D71" s="43">
        <v>1.0</v>
      </c>
      <c r="E71" s="64" t="s">
        <v>188</v>
      </c>
      <c r="F71" s="64" t="s">
        <v>189</v>
      </c>
      <c r="G71" s="64"/>
    </row>
  </sheetData>
  <dataValidations>
    <dataValidation type="list" allowBlank="1" showErrorMessage="1" sqref="F3:F5 F8:F11 F14:F28 F31:F33 F36:F57 F60:F67 F70:F71">
      <formula1>"Data,Control/input,Assumption,Calculated"</formula1>
    </dataValidation>
    <dataValidation type="list" allowBlank="1" showErrorMessage="1" sqref="B3">
      <formula1>"USD ($),GBP (£),EUR (€)"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3" max="3" width="88.0"/>
  </cols>
  <sheetData>
    <row r="1">
      <c r="A1" s="1" t="s">
        <v>92</v>
      </c>
      <c r="B1" s="32" t="s">
        <v>93</v>
      </c>
      <c r="C1" s="74" t="s">
        <v>96</v>
      </c>
    </row>
    <row r="2">
      <c r="A2" s="64" t="s">
        <v>190</v>
      </c>
      <c r="B2" s="53">
        <v>1000.0</v>
      </c>
      <c r="C2" s="75" t="s">
        <v>191</v>
      </c>
    </row>
    <row r="3">
      <c r="A3" s="64" t="s">
        <v>192</v>
      </c>
      <c r="B3" s="53">
        <v>10000.0</v>
      </c>
    </row>
    <row r="4">
      <c r="A4" s="64" t="s">
        <v>193</v>
      </c>
      <c r="B4" s="53">
        <v>5000.0</v>
      </c>
      <c r="C4" s="75" t="s">
        <v>194</v>
      </c>
    </row>
    <row r="5">
      <c r="A5" s="64" t="s">
        <v>195</v>
      </c>
      <c r="B5" s="53">
        <v>50000.0</v>
      </c>
    </row>
    <row r="6">
      <c r="A6" s="64" t="s">
        <v>196</v>
      </c>
      <c r="B6" s="53">
        <v>8000.0</v>
      </c>
      <c r="C6" s="75" t="s">
        <v>197</v>
      </c>
    </row>
    <row r="7">
      <c r="A7" s="64" t="s">
        <v>198</v>
      </c>
      <c r="B7" s="53">
        <v>80000.0</v>
      </c>
    </row>
    <row r="8">
      <c r="A8" s="64" t="s">
        <v>199</v>
      </c>
      <c r="B8" s="53">
        <v>500.0</v>
      </c>
      <c r="C8" s="76" t="s">
        <v>200</v>
      </c>
    </row>
    <row r="9">
      <c r="A9" s="64" t="s">
        <v>201</v>
      </c>
      <c r="B9" s="53">
        <v>5000.0</v>
      </c>
    </row>
    <row r="10">
      <c r="A10" s="64"/>
      <c r="B10" s="53"/>
    </row>
    <row r="11">
      <c r="A11" s="77" t="s">
        <v>202</v>
      </c>
    </row>
  </sheetData>
  <mergeCells count="5">
    <mergeCell ref="C2:C3"/>
    <mergeCell ref="C4:C5"/>
    <mergeCell ref="C6:C7"/>
    <mergeCell ref="C8:C10"/>
    <mergeCell ref="A11:C11"/>
  </mergeCells>
  <drawing r:id="rId1"/>
</worksheet>
</file>