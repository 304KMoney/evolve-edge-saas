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5" tabRatio="500"/>
  </bookViews>
  <sheets>
    <sheet r:id="rId1" name="Calculator Overview" sheetId="1"/>
    <sheet r:id="rId2" name="ROI Calculator" sheetId="2"/>
    <sheet r:id="rId3" name="Pricing Breakdown" sheetId="3"/>
    <sheet r:id="rId4" name="User Count Scaling" sheetId="4"/>
    <sheet r:id="rId5" name="Competitive Comparison" sheetId="5"/>
    <sheet r:id="rId6" name="3-Year Projections" sheetId="6"/>
  </sheets>
  <calcPr calcId="0" iterate="1" iterateCount="1000" iterateDelta="0.01"/>
</workbook>
</file>

<file path=xl/sharedStrings.xml><?xml version="1.0" encoding="utf-8"?>
<sst xmlns="http://schemas.openxmlformats.org/spreadsheetml/2006/main" count="302" uniqueCount="302">
  <si>
    <t>EVOLVE EDGE AI</t>
  </si>
  <si>
    <t>ROI &amp; Pricing Calculator</t>
  </si>
  <si>
    <t>Compare subscription tiers and calculate your compliance ROI</t>
  </si>
  <si>
    <t>Founder: Kiel Green, CEO | evolveedgeai.com</t>
  </si>
  <si>
    <t>FEATURE</t>
  </si>
  <si>
    <t>BASIC</t>
  </si>
  <si>
    <t>PRO</t>
  </si>
  <si>
    <t>ENTERPRISE</t>
  </si>
  <si>
    <t>Annual Price</t>
  </si>
  <si>
    <t>$10,000</t>
  </si>
  <si>
    <t>$50,000</t>
  </si>
  <si>
    <t>$80,000–$95,000</t>
  </si>
  <si>
    <t>Monthly Equivalent</t>
  </si>
  <si>
    <t>$833</t>
  </si>
  <si>
    <t>$4,167</t>
  </si>
  <si>
    <t>$6,667–$7,917</t>
  </si>
  <si>
    <t>Users Included</t>
  </si>
  <si>
    <t>Up to 5</t>
  </si>
  <si>
    <t>Up to 25</t>
  </si>
  <si>
    <t>Unlimited</t>
  </si>
  <si>
    <t>Frameworks</t>
  </si>
  <si>
    <t>Up to 3</t>
  </si>
  <si>
    <t>Cloud Integrations</t>
  </si>
  <si>
    <t>Storage</t>
  </si>
  <si>
    <t>10 GB</t>
  </si>
  <si>
    <t>100 GB</t>
  </si>
  <si>
    <t>API Access</t>
  </si>
  <si>
    <t>No</t>
  </si>
  <si>
    <t>Yes</t>
  </si>
  <si>
    <t>Auto-Remediation</t>
  </si>
  <si>
    <t>Audit Log Retention</t>
  </si>
  <si>
    <t>1 Year</t>
  </si>
  <si>
    <t>3 Years</t>
  </si>
  <si>
    <t>7 Years</t>
  </si>
  <si>
    <t>Support SLA</t>
  </si>
  <si>
    <t>48 hrs</t>
  </si>
  <si>
    <t>8 hrs</t>
  </si>
  <si>
    <t>2 hrs</t>
  </si>
  <si>
    <t>Best For</t>
  </si>
  <si>
    <t>Startups, 1 framework</t>
  </si>
  <si>
    <t>Growth stage, multi-framework</t>
  </si>
  <si>
    <t>Enterprise, regulated industries</t>
  </si>
  <si>
    <t>KEY PLATFORM BENEFITS</t>
  </si>
  <si>
    <t>Workload Reduction</t>
  </si>
  <si>
    <t>85%+</t>
  </si>
  <si>
    <t>vs. manual compliance processes</t>
  </si>
  <si>
    <t>Audit Prep Time</t>
  </si>
  <si>
    <t>Days</t>
  </si>
  <si>
    <t>vs. 6-12 months traditionally</t>
  </si>
  <si>
    <t>Consultant Savings</t>
  </si>
  <si>
    <t>$150K-$500K</t>
  </si>
  <si>
    <t>annual savings potential</t>
  </si>
  <si>
    <t>CALCULATOR TABS</t>
  </si>
  <si>
    <t>Tab 2:</t>
  </si>
  <si>
    <t>ROI Calculator</t>
  </si>
  <si>
    <t>Tab 3:</t>
  </si>
  <si>
    <t>Pricing Breakdown</t>
  </si>
  <si>
    <t>Tab 4:</t>
  </si>
  <si>
    <t>User Count Scaling</t>
  </si>
  <si>
    <t>Tab 5:</t>
  </si>
  <si>
    <t>Competitive Comparison</t>
  </si>
  <si>
    <t>Tab 6:</t>
  </si>
  <si>
    <t>3-Year Projections</t>
  </si>
  <si>
    <t>Customer ROI Calculator</t>
  </si>
  <si>
    <t>Enter Your Numbers Below</t>
  </si>
  <si>
    <t>INPUT SECTION</t>
  </si>
  <si>
    <t>Current Annual Consultant/Audit Cost</t>
  </si>
  <si>
    <t>Range: $150K–$500K</t>
  </si>
  <si>
    <t>Number of Compliance Frameworks</t>
  </si>
  <si>
    <t>How many frameworks</t>
  </si>
  <si>
    <t>Internal FTE Hours on Compliance/year</t>
  </si>
  <si>
    <t>1 FTE = 2,080 hrs</t>
  </si>
  <si>
    <t>Average FTE Hourly Rate ($)</t>
  </si>
  <si>
    <t>Loaded cost per hour</t>
  </si>
  <si>
    <t>Number of Compliance Team Members</t>
  </si>
  <si>
    <t>People on compliance</t>
  </si>
  <si>
    <t>Current Audit Prep Time (months)</t>
  </si>
  <si>
    <t>Industry avg: 6–12 months</t>
  </si>
  <si>
    <t>Revenue at Risk from Delays ($)</t>
  </si>
  <si>
    <t>Deals blocked by compliance</t>
  </si>
  <si>
    <t>Regulatory Fine Risk (annual)</t>
  </si>
  <si>
    <t>Estimated exposure</t>
  </si>
  <si>
    <t>Selected Tier</t>
  </si>
  <si>
    <t>Pro</t>
  </si>
  <si>
    <t>Basic / Pro / Enterprise</t>
  </si>
  <si>
    <t>CURRENT STATE COSTS</t>
  </si>
  <si>
    <t>Annual External Consultant Cost</t>
  </si>
  <si>
    <t>(User Input)</t>
  </si>
  <si>
    <t>Internal FTE Compliance Cost</t>
  </si>
  <si>
    <t>(Hours × Rate × Team)</t>
  </si>
  <si>
    <t>Revenue at Risk</t>
  </si>
  <si>
    <t>Regulatory Fine Exposure</t>
  </si>
  <si>
    <t>TOTAL COMPLIANCE BURDEN</t>
  </si>
  <si>
    <t>WITH EVOLVE EDGE AI</t>
  </si>
  <si>
    <t>Platform Subscription Cost</t>
  </si>
  <si>
    <t>Based on tier</t>
  </si>
  <si>
    <t>Reduced FTE Cost (85% reduction)</t>
  </si>
  <si>
    <t>(FTE × 0.15)</t>
  </si>
  <si>
    <t>Remaining Consultant Cost (10%)</t>
  </si>
  <si>
    <t>(Consultant × 0.10)</t>
  </si>
  <si>
    <t>Reduced Revenue-at-Risk (20%)</t>
  </si>
  <si>
    <t>(Risk × 0.20)</t>
  </si>
  <si>
    <t>Reduced Fine Exposure (10%)</t>
  </si>
  <si>
    <t>(Fine × 0.10)</t>
  </si>
  <si>
    <t>TOTAL WITH EVOLVE EDGE</t>
  </si>
  <si>
    <t>ROI SUMMARY</t>
  </si>
  <si>
    <t>Annual Cost Savings</t>
  </si>
  <si>
    <t>First-Year ROI %</t>
  </si>
  <si>
    <t>2126%</t>
  </si>
  <si>
    <t>Payback Period</t>
  </si>
  <si>
    <t>&lt; 1 month</t>
  </si>
  <si>
    <t>3-Year Total Savings</t>
  </si>
  <si>
    <t>5-Year Total Savings</t>
  </si>
  <si>
    <t>Subscription Tier Pricing — Full Cost Breakdown</t>
  </si>
  <si>
    <t>BASIC TIER — $10,000/year</t>
  </si>
  <si>
    <t>Line Item</t>
  </si>
  <si>
    <t>Monthly</t>
  </si>
  <si>
    <t>Annual</t>
  </si>
  <si>
    <t>Notes</t>
  </si>
  <si>
    <t>Base Platform</t>
  </si>
  <si>
    <t>1 framework, 5 users</t>
  </si>
  <si>
    <t>Additional Framework Add-on</t>
  </si>
  <si>
    <t>$500–$2,500/mo</t>
  </si>
  <si>
    <t>$6,000–$30,000</t>
  </si>
  <si>
    <t>Per additional framework</t>
  </si>
  <si>
    <t>Additional User Seats</t>
  </si>
  <si>
    <t>$50/user/mo</t>
  </si>
  <si>
    <t>$600/user/yr</t>
  </si>
  <si>
    <t>Beyond included 5</t>
  </si>
  <si>
    <t>Additional Cloud Integration</t>
  </si>
  <si>
    <t>$500/mo</t>
  </si>
  <si>
    <t>$6,000/yr</t>
  </si>
  <si>
    <t>Beyond included 1</t>
  </si>
  <si>
    <t>AI Auditor Copilot (Add-on)</t>
  </si>
  <si>
    <t>N/A</t>
  </si>
  <si>
    <t>Not available</t>
  </si>
  <si>
    <t>Compliance Consulting Hours</t>
  </si>
  <si>
    <t>$300/hr</t>
  </si>
  <si>
    <t>Variable</t>
  </si>
  <si>
    <t>Available add-on</t>
  </si>
  <si>
    <t>TOTAL (Base Only)</t>
  </si>
  <si>
    <t>PRO TIER — $50,000/year</t>
  </si>
  <si>
    <t>3 frameworks, 25 users</t>
  </si>
  <si>
    <t>$40/user/mo</t>
  </si>
  <si>
    <t>$480/user/yr</t>
  </si>
  <si>
    <t>Beyond included 25</t>
  </si>
  <si>
    <t>Beyond included 3</t>
  </si>
  <si>
    <t>AI Auditor Copilot Beta</t>
  </si>
  <si>
    <t>$2,500/mo</t>
  </si>
  <si>
    <t>$30,000/yr</t>
  </si>
  <si>
    <t>Available as add-on</t>
  </si>
  <si>
    <t>Pen Test Management Module</t>
  </si>
  <si>
    <t>Add-on</t>
  </si>
  <si>
    <t>Vendor Risk Expansion</t>
  </si>
  <si>
    <t>$1,000/mo</t>
  </si>
  <si>
    <t>$12,000/yr</t>
  </si>
  <si>
    <t>Unlimited vendors</t>
  </si>
  <si>
    <t>Training Module</t>
  </si>
  <si>
    <t>$1,500/mo</t>
  </si>
  <si>
    <t>$18,000/yr</t>
  </si>
  <si>
    <t>LMS integration</t>
  </si>
  <si>
    <t>External Auditor Seats</t>
  </si>
  <si>
    <t>$250/seat/mo</t>
  </si>
  <si>
    <t>$3,000/seat/yr</t>
  </si>
  <si>
    <t>ENTERPRISE TIER — $80,000–$95,000/year</t>
  </si>
  <si>
    <t>Base Platform (Mid)</t>
  </si>
  <si>
    <t>$7,292</t>
  </si>
  <si>
    <t>$87,500</t>
  </si>
  <si>
    <t>Unlimited everything</t>
  </si>
  <si>
    <t>Custom Integration Dev</t>
  </si>
  <si>
    <t>$3,000–$5,000</t>
  </si>
  <si>
    <t>One-time</t>
  </si>
  <si>
    <t>Bespoke integrations</t>
  </si>
  <si>
    <t>Strategic advisory</t>
  </si>
  <si>
    <t>White-Label Setup</t>
  </si>
  <si>
    <t>Negotiated</t>
  </si>
  <si>
    <t>Branding setup fee</t>
  </si>
  <si>
    <t>User Count &amp; Cost Scaling Analysis</t>
  </si>
  <si>
    <t>BASIC TIER SCALING (Base $10,000/yr)</t>
  </si>
  <si>
    <t>Users</t>
  </si>
  <si>
    <t>Base Cost</t>
  </si>
  <si>
    <t>Add-on Users</t>
  </si>
  <si>
    <t>User Add-on Cost</t>
  </si>
  <si>
    <t>Total Annual</t>
  </si>
  <si>
    <t>Cost Per User</t>
  </si>
  <si>
    <t>1–5</t>
  </si>
  <si>
    <t>6–10</t>
  </si>
  <si>
    <t>11–15</t>
  </si>
  <si>
    <t>16–20</t>
  </si>
  <si>
    <t>21–25</t>
  </si>
  <si>
    <t>Upgrade to Pro</t>
  </si>
  <si>
    <t>PRO TIER SCALING (Base $50,000/yr)</t>
  </si>
  <si>
    <t>1–25</t>
  </si>
  <si>
    <t>26–50</t>
  </si>
  <si>
    <t>51–75</t>
  </si>
  <si>
    <t>76–100</t>
  </si>
  <si>
    <t>101–125</t>
  </si>
  <si>
    <t>Upgrade to Enterprise</t>
  </si>
  <si>
    <t>ENTERPRISE TIER SCALING</t>
  </si>
  <si>
    <t>1–Unlimited</t>
  </si>
  <si>
    <t>No per-user charges</t>
  </si>
  <si>
    <t>Cost per user (100 users)</t>
  </si>
  <si>
    <t>$875–$950</t>
  </si>
  <si>
    <t>Effectively unlimited</t>
  </si>
  <si>
    <t>Cost per user (500 users)</t>
  </si>
  <si>
    <t>$175–$190</t>
  </si>
  <si>
    <t>Massive economies of scale</t>
  </si>
  <si>
    <t>Cost per user (1,000 users)</t>
  </si>
  <si>
    <t>$87.50–$95</t>
  </si>
  <si>
    <t>Best value for large orgs</t>
  </si>
  <si>
    <t>Total Cost of Compliance — Evolve Edge AI vs. Alternatives</t>
  </si>
  <si>
    <t>COST COMPARISON TABLE</t>
  </si>
  <si>
    <t>Solution</t>
  </si>
  <si>
    <t>Annual Platform Cost</t>
  </si>
  <si>
    <t>Consultant/Manual Labor</t>
  </si>
  <si>
    <t>Total Annual Cost</t>
  </si>
  <si>
    <t>Traditional Manual Compliance</t>
  </si>
  <si>
    <t>$0</t>
  </si>
  <si>
    <t>$150,000–$500,000</t>
  </si>
  <si>
    <t>6–12 months</t>
  </si>
  <si>
    <t>$400,000–$1,000,000+</t>
  </si>
  <si>
    <t>Vanta (estimated)</t>
  </si>
  <si>
    <t>$15,000–$40,000</t>
  </si>
  <si>
    <t>$100,000–$300,000</t>
  </si>
  <si>
    <t>3–6 months</t>
  </si>
  <si>
    <t>$250,000–$700,000</t>
  </si>
  <si>
    <t>Drata (estimated)</t>
  </si>
  <si>
    <t>$20,000–$50,000</t>
  </si>
  <si>
    <t>$80,000–$250,000</t>
  </si>
  <si>
    <t>$200,000–$600,000</t>
  </si>
  <si>
    <t>Secureframe (estimated)</t>
  </si>
  <si>
    <t>$15,000–$45,000</t>
  </si>
  <si>
    <t>$90,000–$270,000</t>
  </si>
  <si>
    <t>$200,000–$650,000</t>
  </si>
  <si>
    <t>Evolve Edge Basic</t>
  </si>
  <si>
    <t>$25,000–$50,000</t>
  </si>
  <si>
    <t>$35,000–$60,000</t>
  </si>
  <si>
    <t>Evolve Edge Pro</t>
  </si>
  <si>
    <t>$15,000–$30,000</t>
  </si>
  <si>
    <t>$65,000–$80,000</t>
  </si>
  <si>
    <t>Evolve Edge Enterprise</t>
  </si>
  <si>
    <t>$10,000–$20,000</t>
  </si>
  <si>
    <t>$97,500–$107,500</t>
  </si>
  <si>
    <t>SAVINGS VS. MANUAL COMPLIANCE</t>
  </si>
  <si>
    <t>Evolve Edge Tier</t>
  </si>
  <si>
    <t>vs. Manual (Mid)</t>
  </si>
  <si>
    <t>Savings %</t>
  </si>
  <si>
    <t>3-Year Savings</t>
  </si>
  <si>
    <t>Basic</t>
  </si>
  <si>
    <t>$625,000 saved annually</t>
  </si>
  <si>
    <t>86% reduction</t>
  </si>
  <si>
    <t>$1,875,000</t>
  </si>
  <si>
    <t>$600,000 saved annually</t>
  </si>
  <si>
    <t>88% reduction</t>
  </si>
  <si>
    <t>$1,800,000</t>
  </si>
  <si>
    <t>Enterprise</t>
  </si>
  <si>
    <t>$570,000 saved annually</t>
  </si>
  <si>
    <t>84% reduction</t>
  </si>
  <si>
    <t>$1,710,000</t>
  </si>
  <si>
    <t>KEY DIFFERENTIATORS</t>
  </si>
  <si>
    <t>• Vanta/Drata/Secureframe: Reactive tracking only — still requires manual effort and consultants</t>
  </si>
  <si>
    <t>• Evolve Edge: Proactive auto-remediation — AI actively fixes compliance gaps at the source</t>
  </si>
  <si>
    <t>• Result: 85%+ workload reduction vs. 40–60% for competitors</t>
  </si>
  <si>
    <t>• Audit prep: Days (Evolve Edge) vs. weeks/months (competitors)</t>
  </si>
  <si>
    <t>3-Year Revenue &amp; Growth Projection — Evolve Edge AI</t>
  </si>
  <si>
    <t>CUSTOMER ACQUISITION ASSUMPTIONS</t>
  </si>
  <si>
    <t>Metric</t>
  </si>
  <si>
    <t>Year 1</t>
  </si>
  <si>
    <t>Year 2</t>
  </si>
  <si>
    <t>Year 3</t>
  </si>
  <si>
    <t>Basic Tier Customers</t>
  </si>
  <si>
    <t>Pro Tier Customers</t>
  </si>
  <si>
    <t>Enterprise Tier Customers</t>
  </si>
  <si>
    <t>Total Customers</t>
  </si>
  <si>
    <t>Average Add-on Revenue per Customer</t>
  </si>
  <si>
    <t>REVENUE PROJECTIONS</t>
  </si>
  <si>
    <t>Basic Tier Revenue</t>
  </si>
  <si>
    <t>Pro Tier Revenue</t>
  </si>
  <si>
    <t>Enterprise Tier Revenue</t>
  </si>
  <si>
    <t>Add-on Module Revenue</t>
  </si>
  <si>
    <t>TOTAL ARR</t>
  </si>
  <si>
    <t>YoY Growth %</t>
  </si>
  <si>
    <t>COST PROJECTIONS</t>
  </si>
  <si>
    <t>Product Development</t>
  </si>
  <si>
    <t>Operations &amp; Compliance</t>
  </si>
  <si>
    <t>Sales &amp; Marketing</t>
  </si>
  <si>
    <t>Customer Success</t>
  </si>
  <si>
    <t>Infrastructure (AWS/GCP)</t>
  </si>
  <si>
    <t>TOTAL OPEX</t>
  </si>
  <si>
    <t>PROFITABILITY</t>
  </si>
  <si>
    <t>Total Revenue</t>
  </si>
  <si>
    <t>Total OpEx</t>
  </si>
  <si>
    <t>Gross Profit</t>
  </si>
  <si>
    <t>Gross Margin %</t>
  </si>
  <si>
    <t>EBITDA</t>
  </si>
  <si>
    <t>Cumulative ARR Growth</t>
  </si>
  <si>
    <t>MARKET PENETRATION</t>
  </si>
  <si>
    <t>TAM</t>
  </si>
  <si>
    <t>SAM</t>
  </si>
  <si>
    <t>SOM Target</t>
  </si>
  <si>
    <t>Revenue as % of SOM</t>
  </si>
  <si>
    <t>Revenue as % of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</si>
</sst>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_(* #,##0.00_);_(* (#,##0.00);_(* &quot;-&quot;??_);_(@_)"/>
    <numFmt numFmtId="218" formatCode="$#,##0.00"/>
    <numFmt numFmtId="263" formatCode="0.0%"/>
  </numFmts>
  <fonts count="27">
    <font>
      <sz val="11"/>
      <color theme="1"/>
      <name val="Calibri"/>
      <scheme val="minor"/>
    </font>
    <font>
      <b/>
      <i val="0"/>
      <sz val="28"/>
      <color rgb="FFFFFFFF"/>
      <name val="Calibri"/>
    </font>
    <font>
      <b val="0"/>
      <i val="0"/>
      <sz val="18"/>
      <color rgb="FFFFFFFF"/>
      <name val="Calibri"/>
    </font>
    <font>
      <b val="0"/>
      <i/>
      <sz val="12"/>
      <color rgb="FF94A3B8"/>
      <name val="Calibri"/>
    </font>
    <font>
      <b val="0"/>
      <i val="0"/>
      <sz val="10"/>
      <color rgb="FFFFFFFF"/>
      <name val="Calibri"/>
    </font>
    <font>
      <b/>
      <i val="0"/>
      <sz val="11"/>
      <color rgb="FFFFFFFF"/>
      <name val="Calibri"/>
    </font>
    <font>
      <b val="0"/>
      <i val="0"/>
      <sz val="10"/>
      <name val="Calibri"/>
    </font>
    <font>
      <b/>
      <i val="0"/>
      <sz val="14"/>
      <color rgb="FFFFFFFF"/>
      <name val="Calibri"/>
    </font>
    <font>
      <b/>
      <i val="0"/>
      <sz val="10"/>
      <name val="Calibri"/>
    </font>
    <font>
      <b/>
      <i val="0"/>
      <sz val="11"/>
      <color rgb="FF059669"/>
      <name val="Calibri"/>
    </font>
    <font>
      <b val="0"/>
      <i/>
      <sz val="10"/>
      <color rgb="FF64748B"/>
      <name val="Calibri"/>
    </font>
    <font>
      <b/>
      <i val="0"/>
      <sz val="12"/>
      <color rgb="FFFFFFFF"/>
      <name val="Calibri"/>
    </font>
    <font>
      <b val="0"/>
      <i val="0"/>
      <sz val="10"/>
      <color rgb="FF2563EB"/>
      <name val="Calibri"/>
    </font>
    <font>
      <b/>
      <i val="0"/>
      <sz val="20"/>
      <color rgb="FFFFFFFF"/>
      <name val="Aptos Narrow"/>
    </font>
    <font>
      <b val="0"/>
      <i/>
      <sz val="11"/>
      <color rgb="FF94A3B8"/>
      <name val="Aptos Narrow"/>
    </font>
    <font>
      <b/>
      <i val="0"/>
      <sz val="12"/>
      <color rgb="FFFFFFFF"/>
      <name val="Aptos Narrow"/>
    </font>
    <font>
      <b/>
      <i val="0"/>
      <sz val="12"/>
      <name val="Aptos Narrow"/>
    </font>
    <font>
      <b val="0"/>
      <i/>
      <sz val="11"/>
      <color rgb="FF6B7280"/>
      <name val="Aptos Narrow"/>
    </font>
    <font>
      <name val="Calibri"/>
      <scheme val="minor"/>
    </font>
    <font>
      <b/>
      <i val="0"/>
      <sz val="12"/>
      <color rgb="FF059669"/>
      <name val="Aptos Narrow"/>
    </font>
    <font>
      <b/>
      <i val="0"/>
      <sz val="18"/>
      <color rgb="FFFFFFFF"/>
      <name val="Aptos Narrow"/>
    </font>
    <font>
      <b/>
      <i val="0"/>
      <sz val="14"/>
      <color rgb="FFFFFFFF"/>
      <name val="Aptos Narrow"/>
    </font>
    <font>
      <b val="0"/>
      <i val="0"/>
      <sz val="12"/>
      <name val="Aptos Narrow"/>
    </font>
    <font>
      <b/>
      <i val="0"/>
      <sz val="11"/>
      <name val="Aptos Narrow"/>
    </font>
    <font>
      <b val="0"/>
      <i/>
      <sz val="11"/>
      <name val="Aptos Narrow"/>
    </font>
    <font>
      <b/>
      <i val="0"/>
      <sz val="13"/>
      <color rgb="FFFFFFFF"/>
      <name val="Aptos Narrow"/>
    </font>
    <font>
      <b val="0"/>
      <i val="0"/>
      <sz val="11"/>
      <name val="Aptos Narrow"/>
    </font>
  </fonts>
  <fills count="2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F172A"/>
      </patternFill>
    </fill>
    <fill>
      <patternFill patternType="solid">
        <fgColor rgb="FF10B981"/>
      </patternFill>
    </fill>
    <fill>
      <patternFill patternType="solid">
        <fgColor rgb="FF2563EB"/>
      </patternFill>
    </fill>
    <fill>
      <patternFill patternType="solid">
        <fgColor rgb="FF8B5CF6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374151"/>
      </patternFill>
    </fill>
    <fill>
      <patternFill patternType="solid">
        <fgColor rgb="FFF8FAFC"/>
      </patternFill>
    </fill>
    <fill>
      <patternFill patternType="solid">
        <fgColor rgb="FF1E40AF"/>
      </patternFill>
    </fill>
    <fill>
      <patternFill patternType="solid">
        <fgColor rgb="FFFEF3C7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DC2626"/>
      </patternFill>
    </fill>
    <fill>
      <patternFill patternType="solid">
        <fgColor rgb="FF04785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F0FDF4"/>
      </patternFill>
    </fill>
    <fill>
      <patternFill patternType="solid">
        <fgColor rgb="FFF5F3FF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1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D4A574"/>
      </left>
      <right style="thin">
        <color rgb="FFD4A574"/>
      </right>
      <top style="thin">
        <color rgb="FFD4A574"/>
      </top>
      <bottom style="thin">
        <color rgb="FFD4A574"/>
      </bottom>
    </border>
    <border>
      <left style="thin">
        <color rgb="FFA78BFA"/>
      </left>
      <right style="thin">
        <color rgb="FFA78BFA"/>
      </right>
      <top style="thin">
        <color rgb="FFA78BFA"/>
      </top>
      <bottom style="thin">
        <color rgb="FFA78BFA"/>
      </bottom>
    </border>
    <border>
      <top style="thin">
        <color rgb="FF10B981"/>
      </top>
      <bottom style="medium">
        <color rgb="FF10B981"/>
      </bottom>
    </border>
    <border>
      <top style="thin">
        <color rgb="FF2563EB"/>
      </top>
      <bottom style="medium">
        <color rgb="FF2563EB"/>
      </bottom>
    </border>
    <border>
      <top style="thin">
        <color rgb="FF8B5CF6"/>
      </top>
      <bottom style="medium">
        <color rgb="FF8B5CF6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thin">
        <color rgb="FFE5E7EB"/>
      </bottom>
    </border>
  </borders>
  <cellStyleXfs count="1">
    <xf numFmtId="0" fontId="0" fillId="0" borderId="1">
      <alignment horizontal="general" vertical="top"/>
    </xf>
  </cellStyleXfs>
  <cellXfs count="134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2" borderId="0" xfId="0">
      <alignment horizontal="center" vertical="center"/>
    </xf>
    <xf numFmtId="0" fontId="3" fillId="2" borderId="0" xfId="0">
      <alignment horizontal="center" vertical="center"/>
    </xf>
    <xf numFmtId="0" fontId="4" fillId="2" borderId="0" xfId="0">
      <alignment horizontal="center" vertical="center"/>
    </xf>
    <xf numFmtId="0" fontId="5" fillId="3" borderId="2" xfId="0">
      <alignment horizontal="left" vertical="center"/>
    </xf>
    <xf numFmtId="0" fontId="5" fillId="4" borderId="2" xfId="0">
      <alignment horizontal="center" vertical="center"/>
    </xf>
    <xf numFmtId="0" fontId="5" fillId="5" borderId="2" xfId="0">
      <alignment horizontal="center" vertical="center"/>
    </xf>
    <xf numFmtId="0" fontId="5" fillId="6" borderId="2" xfId="0">
      <alignment horizontal="center" vertical="center"/>
    </xf>
    <xf numFmtId="0" fontId="6" fillId="7" borderId="3" xfId="0">
      <alignment horizontal="left" vertical="center"/>
    </xf>
    <xf numFmtId="0" fontId="6" fillId="8" borderId="3" xfId="0">
      <alignment horizontal="center" vertical="center"/>
    </xf>
    <xf numFmtId="0" fontId="6" fillId="9" borderId="3" xfId="0">
      <alignment horizontal="center" vertical="center"/>
    </xf>
    <xf numFmtId="0" fontId="6" fillId="10" borderId="3" xfId="0">
      <alignment horizontal="center" vertical="center"/>
    </xf>
    <xf numFmtId="0" fontId="6" fillId="11" borderId="3" xfId="0">
      <alignment horizontal="left" vertical="center"/>
    </xf>
    <xf numFmtId="0" fontId="7" fillId="2" borderId="2" xfId="0">
      <alignment horizontal="center" vertical="center"/>
    </xf>
    <xf numFmtId="0" fontId="8" fillId="12" borderId="3" xfId="0">
      <alignment horizontal="left" vertical="center"/>
    </xf>
    <xf numFmtId="0" fontId="9" fillId="8" borderId="3" xfId="0">
      <alignment horizontal="center" vertical="center"/>
    </xf>
    <xf numFmtId="0" fontId="10" fillId="12" borderId="3" xfId="0">
      <alignment horizontal="left" vertical="center"/>
    </xf>
    <xf numFmtId="0" fontId="11" fillId="13" borderId="3" xfId="0">
      <alignment horizontal="center" vertical="center"/>
    </xf>
    <xf numFmtId="0" fontId="8" fillId="14" borderId="4" xfId="0">
      <alignment horizontal="right" vertical="center"/>
    </xf>
    <xf numFmtId="0" fontId="12" fillId="14" borderId="5" xfId="0">
      <alignment horizontal="left" vertical="center"/>
    </xf>
    <xf numFmtId="0" fontId="13" fillId="2" borderId="0" xfId="0">
      <alignment horizontal="center" vertical="top"/>
    </xf>
    <xf numFmtId="0" fontId="14" fillId="2" borderId="0" xfId="0">
      <alignment horizontal="center" vertical="top"/>
    </xf>
    <xf numFmtId="0" fontId="15" fillId="15" borderId="0" xfId="0">
      <alignment vertical="top"/>
    </xf>
    <xf numFmtId="0" fontId="16" fillId="16" borderId="6" xfId="0">
      <alignment horizontal="right" vertical="top"/>
    </xf>
    <xf numFmtId="0" fontId="17" fillId="0" borderId="0" xfId="0">
      <alignment vertical="top"/>
    </xf>
    <xf numFmtId="0" fontId="15" fillId="17" borderId="0" xfId="0">
      <alignment vertical="top"/>
    </xf>
    <xf numFmtId="0" fontId="18" fillId="18" borderId="0" xfId="0">
      <alignment vertical="top"/>
    </xf>
    <xf numFmtId="0" fontId="15" fillId="19" borderId="0" xfId="0">
      <alignment vertical="top"/>
    </xf>
    <xf numFmtId="0" fontId="15" fillId="20" borderId="0" xfId="0">
      <alignment vertical="top"/>
    </xf>
    <xf numFmtId="0" fontId="18" fillId="8" borderId="0" xfId="0">
      <alignment vertical="top"/>
    </xf>
    <xf numFmtId="0" fontId="15" fillId="21" borderId="0" xfId="0">
      <alignment vertical="top"/>
    </xf>
    <xf numFmtId="0" fontId="15" fillId="22" borderId="0" xfId="0">
      <alignment vertical="top"/>
    </xf>
    <xf numFmtId="0" fontId="18" fillId="10" borderId="7" xfId="0">
      <alignment vertical="top"/>
    </xf>
    <xf numFmtId="0" fontId="19" fillId="10" borderId="7" xfId="0">
      <alignment vertical="top"/>
    </xf>
    <xf numFmtId="0" fontId="20" fillId="2" borderId="0" xfId="0">
      <alignment horizontal="center" vertical="top"/>
    </xf>
    <xf numFmtId="0" fontId="21" fillId="4" borderId="0" xfId="0">
      <alignment horizontal="center" vertical="top"/>
    </xf>
    <xf numFmtId="0" fontId="16" fillId="8" borderId="0" xfId="0">
      <alignment horizontal="left" vertical="top"/>
    </xf>
    <xf numFmtId="0" fontId="16" fillId="8" borderId="0" xfId="0">
      <alignment horizontal="right" vertical="top"/>
    </xf>
    <xf numFmtId="0" fontId="22" fillId="11" borderId="0" xfId="0">
      <alignment horizontal="left" vertical="top"/>
    </xf>
    <xf numFmtId="0" fontId="22" fillId="11" borderId="0" xfId="0">
      <alignment horizontal="right" vertical="top"/>
    </xf>
    <xf numFmtId="0" fontId="22" fillId="23" borderId="0" xfId="0">
      <alignment horizontal="left" vertical="top"/>
    </xf>
    <xf numFmtId="0" fontId="22" fillId="23" borderId="0" xfId="0">
      <alignment horizontal="right" vertical="top"/>
    </xf>
    <xf numFmtId="0" fontId="16" fillId="11" borderId="8" xfId="0">
      <alignment horizontal="left" vertical="top"/>
    </xf>
    <xf numFmtId="0" fontId="16" fillId="11" borderId="8" xfId="0">
      <alignment horizontal="right" vertical="top"/>
    </xf>
    <xf numFmtId="0" fontId="21" fillId="5" borderId="0" xfId="0">
      <alignment horizontal="center" vertical="top"/>
    </xf>
    <xf numFmtId="0" fontId="16" fillId="9" borderId="0" xfId="0">
      <alignment horizontal="left" vertical="top"/>
    </xf>
    <xf numFmtId="0" fontId="16" fillId="9" borderId="0" xfId="0">
      <alignment horizontal="right" vertical="top"/>
    </xf>
    <xf numFmtId="0" fontId="22" fillId="12" borderId="0" xfId="0">
      <alignment horizontal="left" vertical="top"/>
    </xf>
    <xf numFmtId="0" fontId="22" fillId="12" borderId="0" xfId="0">
      <alignment horizontal="right" vertical="top"/>
    </xf>
    <xf numFmtId="0" fontId="16" fillId="11" borderId="9" xfId="0">
      <alignment horizontal="left" vertical="top"/>
    </xf>
    <xf numFmtId="0" fontId="16" fillId="11" borderId="9" xfId="0">
      <alignment horizontal="right" vertical="top"/>
    </xf>
    <xf numFmtId="0" fontId="21" fillId="6" borderId="0" xfId="0">
      <alignment horizontal="center" vertical="top"/>
    </xf>
    <xf numFmtId="0" fontId="16" fillId="10" borderId="0" xfId="0">
      <alignment horizontal="left" vertical="top"/>
    </xf>
    <xf numFmtId="0" fontId="16" fillId="10" borderId="0" xfId="0">
      <alignment horizontal="right" vertical="top"/>
    </xf>
    <xf numFmtId="0" fontId="22" fillId="24" borderId="0" xfId="0">
      <alignment horizontal="left" vertical="top"/>
    </xf>
    <xf numFmtId="0" fontId="22" fillId="24" borderId="0" xfId="0">
      <alignment horizontal="right" vertical="top"/>
    </xf>
    <xf numFmtId="0" fontId="16" fillId="11" borderId="10" xfId="0">
      <alignment horizontal="left" vertical="top"/>
    </xf>
    <xf numFmtId="0" fontId="16" fillId="11" borderId="10" xfId="0">
      <alignment horizontal="right" vertical="top"/>
    </xf>
    <xf numFmtId="0" fontId="20" fillId="2" borderId="0" xfId="0">
      <alignment horizontal="center" vertical="center"/>
    </xf>
    <xf numFmtId="0" fontId="21" fillId="4" borderId="0" xfId="0">
      <alignment horizontal="center" vertical="center"/>
    </xf>
    <xf numFmtId="0" fontId="23" fillId="8" borderId="11" xfId="0">
      <alignment horizontal="center" vertical="center"/>
    </xf>
    <xf numFmtId="0" fontId="18" fillId="11" borderId="11" xfId="0">
      <alignment horizontal="left" vertical="top"/>
    </xf>
    <xf numFmtId="171" fontId="18" fillId="11" borderId="11" xfId="0">
      <alignment horizontal="right" vertical="top"/>
    </xf>
    <xf numFmtId="3" fontId="18" fillId="11" borderId="11" xfId="0">
      <alignment horizontal="right" vertical="top"/>
    </xf>
    <xf numFmtId="0" fontId="18" fillId="23" borderId="11" xfId="0">
      <alignment horizontal="left" vertical="top"/>
    </xf>
    <xf numFmtId="171" fontId="18" fillId="23" borderId="11" xfId="0">
      <alignment horizontal="right" vertical="top"/>
    </xf>
    <xf numFmtId="3" fontId="18" fillId="23" borderId="11" xfId="0">
      <alignment horizontal="right" vertical="top"/>
    </xf>
    <xf numFmtId="0" fontId="24" fillId="16" borderId="11" xfId="0">
      <alignment horizontal="left" vertical="top"/>
    </xf>
    <xf numFmtId="171" fontId="24" fillId="16" borderId="11" xfId="0">
      <alignment horizontal="right" vertical="top"/>
    </xf>
    <xf numFmtId="3" fontId="24" fillId="16" borderId="11" xfId="0">
      <alignment horizontal="right" vertical="top"/>
    </xf>
    <xf numFmtId="0" fontId="21" fillId="5" borderId="0" xfId="0">
      <alignment horizontal="center" vertical="center"/>
    </xf>
    <xf numFmtId="0" fontId="23" fillId="9" borderId="11" xfId="0">
      <alignment horizontal="center" vertical="center"/>
    </xf>
    <xf numFmtId="0" fontId="18" fillId="12" borderId="11" xfId="0">
      <alignment horizontal="left" vertical="top"/>
    </xf>
    <xf numFmtId="171" fontId="18" fillId="12" borderId="11" xfId="0">
      <alignment horizontal="right" vertical="top"/>
    </xf>
    <xf numFmtId="3" fontId="18" fillId="12" borderId="11" xfId="0">
      <alignment horizontal="right" vertical="top"/>
    </xf>
    <xf numFmtId="0" fontId="24" fillId="16" borderId="11" xfId="0">
      <alignment horizontal="right" vertical="top"/>
    </xf>
    <xf numFmtId="0" fontId="21" fillId="6" borderId="0" xfId="0">
      <alignment horizontal="center" vertical="center"/>
    </xf>
    <xf numFmtId="0" fontId="23" fillId="10" borderId="11" xfId="0">
      <alignment horizontal="center" vertical="center"/>
    </xf>
    <xf numFmtId="0" fontId="18" fillId="0" borderId="11" xfId="0">
      <alignment vertical="top"/>
    </xf>
    <xf numFmtId="0" fontId="18" fillId="11" borderId="11" xfId="0">
      <alignment horizontal="right" vertical="top"/>
    </xf>
    <xf numFmtId="0" fontId="18" fillId="24" borderId="11" xfId="0">
      <alignment horizontal="left" vertical="top"/>
    </xf>
    <xf numFmtId="0" fontId="18" fillId="24" borderId="11" xfId="0">
      <alignment horizontal="right" vertical="top"/>
    </xf>
    <xf numFmtId="0" fontId="25" fillId="13" borderId="0" xfId="0">
      <alignment horizontal="center" vertical="center"/>
    </xf>
    <xf numFmtId="0" fontId="23" fillId="25" borderId="0" xfId="0">
      <alignment horizontal="left" vertical="center"/>
    </xf>
    <xf numFmtId="0" fontId="23" fillId="25" borderId="0" xfId="0">
      <alignment horizontal="center" vertical="center"/>
    </xf>
    <xf numFmtId="0" fontId="26" fillId="11" borderId="12" xfId="0">
      <alignment horizontal="left" vertical="center"/>
    </xf>
    <xf numFmtId="0" fontId="26" fillId="11" borderId="12" xfId="0">
      <alignment horizontal="right" vertical="center"/>
    </xf>
    <xf numFmtId="0" fontId="26" fillId="11" borderId="12" xfId="0">
      <alignment horizontal="center" vertical="center"/>
    </xf>
    <xf numFmtId="0" fontId="26" fillId="26" borderId="12" xfId="0">
      <alignment horizontal="left" vertical="center"/>
    </xf>
    <xf numFmtId="0" fontId="26" fillId="26" borderId="12" xfId="0">
      <alignment horizontal="right" vertical="center"/>
    </xf>
    <xf numFmtId="0" fontId="26" fillId="26" borderId="12" xfId="0">
      <alignment horizontal="center" vertical="center"/>
    </xf>
    <xf numFmtId="0" fontId="26" fillId="8" borderId="12" xfId="0">
      <alignment horizontal="left" vertical="center"/>
    </xf>
    <xf numFmtId="0" fontId="26" fillId="8" borderId="12" xfId="0">
      <alignment horizontal="right" vertical="center"/>
    </xf>
    <xf numFmtId="0" fontId="26" fillId="8" borderId="12" xfId="0">
      <alignment horizontal="center" vertical="center"/>
    </xf>
    <xf numFmtId="0" fontId="26" fillId="9" borderId="12" xfId="0">
      <alignment horizontal="left" vertical="center"/>
    </xf>
    <xf numFmtId="0" fontId="26" fillId="9" borderId="12" xfId="0">
      <alignment horizontal="right" vertical="center"/>
    </xf>
    <xf numFmtId="0" fontId="26" fillId="9" borderId="12" xfId="0">
      <alignment horizontal="center" vertical="center"/>
    </xf>
    <xf numFmtId="0" fontId="26" fillId="10" borderId="12" xfId="0">
      <alignment horizontal="left" vertical="center"/>
    </xf>
    <xf numFmtId="0" fontId="26" fillId="10" borderId="12" xfId="0">
      <alignment horizontal="right" vertical="center"/>
    </xf>
    <xf numFmtId="0" fontId="26" fillId="10" borderId="12" xfId="0">
      <alignment horizontal="center" vertical="center"/>
    </xf>
    <xf numFmtId="0" fontId="25" fillId="20" borderId="0" xfId="0">
      <alignment horizontal="center" vertical="center"/>
    </xf>
    <xf numFmtId="0" fontId="23" fillId="8" borderId="0" xfId="0">
      <alignment horizontal="left" vertical="center"/>
    </xf>
    <xf numFmtId="0" fontId="23" fillId="8" borderId="0" xfId="0">
      <alignment horizontal="center" vertical="center"/>
    </xf>
    <xf numFmtId="0" fontId="23" fillId="8" borderId="12" xfId="0">
      <alignment horizontal="center" vertical="center"/>
    </xf>
    <xf numFmtId="0" fontId="23" fillId="9" borderId="12" xfId="0">
      <alignment horizontal="center" vertical="center"/>
    </xf>
    <xf numFmtId="0" fontId="23" fillId="10" borderId="12" xfId="0">
      <alignment horizontal="center" vertical="center"/>
    </xf>
    <xf numFmtId="0" fontId="25" fillId="5" borderId="0" xfId="0">
      <alignment horizontal="center" vertical="center"/>
    </xf>
    <xf numFmtId="0" fontId="26" fillId="12" borderId="0" xfId="0">
      <alignment horizontal="left" vertical="center" indent="1"/>
    </xf>
    <xf numFmtId="0" fontId="25" fillId="5" borderId="0" xfId="0">
      <alignment vertical="top"/>
    </xf>
    <xf numFmtId="0" fontId="23" fillId="9" borderId="0" xfId="0">
      <alignment horizontal="left" vertical="top"/>
    </xf>
    <xf numFmtId="0" fontId="23" fillId="9" borderId="0" xfId="0">
      <alignment horizontal="center" vertical="top"/>
    </xf>
    <xf numFmtId="3" fontId="18" fillId="0" borderId="0" xfId="0">
      <alignment horizontal="center" vertical="top"/>
    </xf>
    <xf numFmtId="0" fontId="18" fillId="26" borderId="0" xfId="0">
      <alignment vertical="top"/>
    </xf>
    <xf numFmtId="3" fontId="18" fillId="26" borderId="0" xfId="0">
      <alignment horizontal="center" vertical="top"/>
    </xf>
    <xf numFmtId="0" fontId="23" fillId="0" borderId="0" xfId="0">
      <alignment vertical="top"/>
    </xf>
    <xf numFmtId="3" fontId="23" fillId="0" borderId="0" xfId="0">
      <alignment horizontal="center" vertical="top"/>
    </xf>
    <xf numFmtId="218" fontId="18" fillId="0" borderId="0" xfId="0">
      <alignment horizontal="center" vertical="top"/>
    </xf>
    <xf numFmtId="0" fontId="25" fillId="20" borderId="0" xfId="0">
      <alignment vertical="top"/>
    </xf>
    <xf numFmtId="0" fontId="18" fillId="0" borderId="0" xfId="0">
      <alignment horizontal="center" vertical="top"/>
    </xf>
    <xf numFmtId="218" fontId="18" fillId="26" borderId="0" xfId="0">
      <alignment horizontal="center" vertical="top"/>
    </xf>
    <xf numFmtId="0" fontId="23" fillId="8" borderId="0" xfId="0">
      <alignment vertical="top"/>
    </xf>
    <xf numFmtId="218" fontId="23" fillId="8" borderId="0" xfId="0">
      <alignment horizontal="center" vertical="top"/>
    </xf>
    <xf numFmtId="0" fontId="18" fillId="26" borderId="0" xfId="0">
      <alignment horizontal="center" vertical="top"/>
    </xf>
    <xf numFmtId="9" fontId="18" fillId="26" borderId="0" xfId="0">
      <alignment horizontal="center" vertical="top"/>
    </xf>
    <xf numFmtId="0" fontId="25" fillId="17" borderId="0" xfId="0">
      <alignment vertical="top"/>
    </xf>
    <xf numFmtId="0" fontId="23" fillId="18" borderId="0" xfId="0">
      <alignment vertical="top"/>
    </xf>
    <xf numFmtId="218" fontId="23" fillId="18" borderId="0" xfId="0">
      <alignment horizontal="center" vertical="top"/>
    </xf>
    <xf numFmtId="0" fontId="25" fillId="22" borderId="0" xfId="0">
      <alignment vertical="top"/>
    </xf>
    <xf numFmtId="263" fontId="18" fillId="26" borderId="0" xfId="0">
      <alignment horizontal="center" vertical="top"/>
    </xf>
    <xf numFmtId="0" fontId="23" fillId="10" borderId="0" xfId="0">
      <alignment vertical="top"/>
    </xf>
    <xf numFmtId="218" fontId="23" fillId="10" borderId="0" xfId="0">
      <alignment horizontal="center" vertical="top"/>
    </xf>
    <xf numFmtId="0" fontId="25" fillId="13" borderId="0" xfId="0">
      <alignment vertical="top"/>
    </xf>
    <xf numFmtId="10" fontId="18" fillId="0" borderId="0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A6E9D9-A10F-9DAD-19E8-C24FB1693072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4.28125" customWidth="1"/>
    <col min="2" max="2" width="28.57421875" customWidth="1"/>
    <col min="3" max="4" width="20.00390625" customWidth="1"/>
    <col min="5" max="5" width="22.8515625" customWidth="1"/>
    <col min="6" max="6" width="20.00390625" customWidth="1"/>
    <col min="7" max="7" width="4.28125" customWidth="1"/>
  </cols>
  <sheetData>
    <row r="1" ht="36" customHeight="1">
      <c r="A1" s="1" t="s">
        <v>0</v>
      </c>
    </row>
    <row r="2" ht="24" customHeight="1">
      <c r="A2" s="2" t="s">
        <v>1</v>
      </c>
    </row>
    <row r="3" ht="17.25" customHeight="1">
      <c r="A3" s="3" t="s">
        <v>2</v>
      </c>
    </row>
    <row r="4" ht="14.25" customHeight="1">
      <c r="A4" s="4" t="s">
        <v>3</v>
      </c>
    </row>
    <row r="7" ht="15.75" customHeight="1">
      <c r="B7" s="5" t="s">
        <v>4</v>
      </c>
      <c r="C7" s="6" t="s">
        <v>5</v>
      </c>
      <c r="D7" s="7" t="s">
        <v>6</v>
      </c>
      <c r="E7" s="8" t="s">
        <v>7</v>
      </c>
    </row>
    <row r="8" ht="14.25" customHeight="1">
      <c r="B8" s="9" t="s">
        <v>8</v>
      </c>
      <c r="C8" s="10" t="s">
        <v>9</v>
      </c>
      <c r="D8" s="11" t="s">
        <v>10</v>
      </c>
      <c r="E8" s="12" t="s">
        <v>11</v>
      </c>
    </row>
    <row r="9" ht="14.25" customHeight="1">
      <c r="B9" s="13" t="s">
        <v>12</v>
      </c>
      <c r="C9" s="10" t="s">
        <v>13</v>
      </c>
      <c r="D9" s="11" t="s">
        <v>14</v>
      </c>
      <c r="E9" s="12" t="s">
        <v>15</v>
      </c>
    </row>
    <row r="10" ht="14.25" customHeight="1">
      <c r="B10" s="9" t="s">
        <v>16</v>
      </c>
      <c r="C10" s="10" t="s">
        <v>17</v>
      </c>
      <c r="D10" s="11" t="s">
        <v>18</v>
      </c>
      <c r="E10" s="12" t="s">
        <v>19</v>
      </c>
    </row>
    <row r="11" ht="14.25" customHeight="1">
      <c r="B11" s="13" t="s">
        <v>20</v>
      </c>
      <c r="C11" s="10">
        <v>1</v>
      </c>
      <c r="D11" s="11" t="s">
        <v>21</v>
      </c>
      <c r="E11" s="12" t="s">
        <v>19</v>
      </c>
    </row>
    <row r="12" ht="14.25" customHeight="1">
      <c r="B12" s="9" t="s">
        <v>22</v>
      </c>
      <c r="C12" s="10">
        <v>1</v>
      </c>
      <c r="D12" s="11" t="s">
        <v>21</v>
      </c>
      <c r="E12" s="12" t="s">
        <v>19</v>
      </c>
    </row>
    <row r="13" ht="14.25" customHeight="1">
      <c r="B13" s="13" t="s">
        <v>23</v>
      </c>
      <c r="C13" s="10" t="s">
        <v>24</v>
      </c>
      <c r="D13" s="11" t="s">
        <v>25</v>
      </c>
      <c r="E13" s="12" t="s">
        <v>19</v>
      </c>
    </row>
    <row r="14" ht="14.25" customHeight="1">
      <c r="B14" s="9" t="s">
        <v>26</v>
      </c>
      <c r="C14" s="10" t="s">
        <v>27</v>
      </c>
      <c r="D14" s="11" t="s">
        <v>28</v>
      </c>
      <c r="E14" s="12" t="s">
        <v>28</v>
      </c>
    </row>
    <row r="15" ht="14.25" customHeight="1">
      <c r="B15" s="13" t="s">
        <v>29</v>
      </c>
      <c r="C15" s="10" t="s">
        <v>27</v>
      </c>
      <c r="D15" s="11" t="s">
        <v>28</v>
      </c>
      <c r="E15" s="12" t="s">
        <v>28</v>
      </c>
    </row>
    <row r="16" ht="14.25" customHeight="1">
      <c r="B16" s="9" t="s">
        <v>30</v>
      </c>
      <c r="C16" s="10" t="s">
        <v>31</v>
      </c>
      <c r="D16" s="11" t="s">
        <v>32</v>
      </c>
      <c r="E16" s="12" t="s">
        <v>33</v>
      </c>
    </row>
    <row r="17" ht="14.25" customHeight="1">
      <c r="B17" s="13" t="s">
        <v>34</v>
      </c>
      <c r="C17" s="10" t="s">
        <v>35</v>
      </c>
      <c r="D17" s="11" t="s">
        <v>36</v>
      </c>
      <c r="E17" s="12" t="s">
        <v>37</v>
      </c>
    </row>
    <row r="18" ht="14.25" customHeight="1">
      <c r="B18" s="9" t="s">
        <v>38</v>
      </c>
      <c r="C18" s="10" t="s">
        <v>39</v>
      </c>
      <c r="D18" s="11" t="s">
        <v>40</v>
      </c>
      <c r="E18" s="12" t="s">
        <v>41</v>
      </c>
    </row>
    <row r="21" ht="19.5" customHeight="1">
      <c r="B21" s="14" t="s">
        <v>42</v>
      </c>
    </row>
    <row r="22" ht="15.75" customHeight="1">
      <c r="B22" s="15" t="s">
        <v>43</v>
      </c>
      <c r="C22" s="16" t="s">
        <v>44</v>
      </c>
      <c r="D22" s="17" t="s">
        <v>45</v>
      </c>
    </row>
    <row r="23" ht="15.75" customHeight="1">
      <c r="B23" s="15" t="s">
        <v>46</v>
      </c>
      <c r="C23" s="16" t="s">
        <v>47</v>
      </c>
      <c r="D23" s="17" t="s">
        <v>48</v>
      </c>
    </row>
    <row r="24" ht="15.75" customHeight="1">
      <c r="B24" s="15" t="s">
        <v>49</v>
      </c>
      <c r="C24" s="16" t="s">
        <v>50</v>
      </c>
      <c r="D24" s="17" t="s">
        <v>51</v>
      </c>
    </row>
    <row r="27" ht="17.25" customHeight="1">
      <c r="B27" s="18" t="s">
        <v>52</v>
      </c>
    </row>
    <row r="28" ht="14.25" customHeight="1">
      <c r="B28" s="19" t="s">
        <v>53</v>
      </c>
      <c r="C28" s="20" t="s">
        <v>54</v>
      </c>
    </row>
    <row r="29" ht="14.25" customHeight="1">
      <c r="B29" s="19" t="s">
        <v>55</v>
      </c>
      <c r="C29" s="20" t="s">
        <v>56</v>
      </c>
    </row>
    <row r="30" ht="14.25" customHeight="1">
      <c r="B30" s="19" t="s">
        <v>57</v>
      </c>
      <c r="C30" s="20" t="s">
        <v>58</v>
      </c>
    </row>
    <row r="31" ht="14.25" customHeight="1">
      <c r="B31" s="19" t="s">
        <v>59</v>
      </c>
      <c r="C31" s="20" t="s">
        <v>60</v>
      </c>
    </row>
    <row r="32" ht="14.25" customHeight="1">
      <c r="B32" s="19" t="s">
        <v>61</v>
      </c>
      <c r="C32" s="20" t="s">
        <v>62</v>
      </c>
    </row>
  </sheetData>
  <mergeCells>
    <mergeCell ref="A1:G1"/>
    <mergeCell ref="A2:G2"/>
    <mergeCell ref="A3:G3"/>
    <mergeCell ref="A4:G4"/>
    <mergeCell ref="B21:E21"/>
    <mergeCell ref="D22:E22"/>
    <mergeCell ref="D23:E23"/>
    <mergeCell ref="D24:E24"/>
    <mergeCell ref="B27:E27"/>
    <mergeCell ref="C28:E28"/>
    <mergeCell ref="C29:E29"/>
    <mergeCell ref="C30:E30"/>
    <mergeCell ref="C31:E31"/>
    <mergeCell ref="C32:E3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D24578-176F-618D-A9BD-EDF24319F4CB}" mc:Ignorable="x14ac xr xr2 xr3">
  <dimension ref="A1:GR1000"/>
  <sheetViews>
    <sheetView topLeftCell="A22" workbookViewId="0">
      <selection activeCell="B30" sqref="B30:D30"/>
    </sheetView>
  </sheetViews>
  <sheetFormatPr defaultRowHeight="15" defaultColWidth="8.8515625" customHeight="1"/>
  <cols>
    <col min="1" max="1" width="0.7109375" customWidth="1"/>
    <col min="2" max="2" width="40.00390625" customWidth="1"/>
    <col min="3" max="3" width="22.8515625" customWidth="1"/>
    <col min="4" max="4" width="28.57421875" customWidth="1"/>
    <col min="5" max="5" width="4.28125" customWidth="1"/>
  </cols>
  <sheetData>
    <row r="1" ht="25.5" customHeight="1">
      <c r="A1" s="21" t="s">
        <v>63</v>
      </c>
    </row>
    <row r="2" ht="15" customHeight="1">
      <c r="A2" s="22" t="s">
        <v>64</v>
      </c>
    </row>
    <row r="4" ht="15.75" customHeight="1">
      <c r="B4" s="23" t="s">
        <v>65</v>
      </c>
    </row>
    <row r="5" ht="15.75" customHeight="1">
      <c r="B5" t="s">
        <v>66</v>
      </c>
      <c r="C5" s="24">
        <v>250000</v>
      </c>
      <c r="D5" s="25" t="s">
        <v>67</v>
      </c>
    </row>
    <row r="6" ht="15.75" customHeight="1">
      <c r="B6" t="s">
        <v>68</v>
      </c>
      <c r="C6" s="24">
        <v>2</v>
      </c>
      <c r="D6" s="25" t="s">
        <v>69</v>
      </c>
    </row>
    <row r="7" ht="15.75" customHeight="1">
      <c r="B7" t="s">
        <v>70</v>
      </c>
      <c r="C7" s="24">
        <v>2080</v>
      </c>
      <c r="D7" s="25" t="s">
        <v>71</v>
      </c>
    </row>
    <row r="8" ht="15.75" customHeight="1">
      <c r="B8" t="s">
        <v>72</v>
      </c>
      <c r="C8" s="24">
        <v>75</v>
      </c>
      <c r="D8" s="25" t="s">
        <v>73</v>
      </c>
    </row>
    <row r="9" ht="15.75" customHeight="1">
      <c r="B9" t="s">
        <v>74</v>
      </c>
      <c r="C9" s="24">
        <v>3</v>
      </c>
      <c r="D9" s="25" t="s">
        <v>75</v>
      </c>
    </row>
    <row r="10" ht="15.75" customHeight="1">
      <c r="B10" t="s">
        <v>76</v>
      </c>
      <c r="C10" s="24">
        <v>6</v>
      </c>
      <c r="D10" s="25" t="s">
        <v>77</v>
      </c>
    </row>
    <row r="11" ht="15.75" customHeight="1">
      <c r="B11" t="s">
        <v>78</v>
      </c>
      <c r="C11" s="24">
        <v>500000</v>
      </c>
      <c r="D11" s="25" t="s">
        <v>79</v>
      </c>
    </row>
    <row r="12" ht="15.75" customHeight="1">
      <c r="B12" t="s">
        <v>80</v>
      </c>
      <c r="C12" s="24">
        <v>100000</v>
      </c>
      <c r="D12" s="25" t="s">
        <v>81</v>
      </c>
    </row>
    <row r="13" ht="15.75" customHeight="1">
      <c r="B13" t="s">
        <v>82</v>
      </c>
      <c r="C13" s="24" t="s">
        <v>83</v>
      </c>
      <c r="D13" s="25" t="s">
        <v>84</v>
      </c>
    </row>
    <row r="15" ht="15.75" customHeight="1">
      <c r="B15" s="26" t="s">
        <v>85</v>
      </c>
    </row>
    <row r="16" ht="15.75" customHeight="1">
      <c r="B16" t="s">
        <v>86</v>
      </c>
      <c r="C16" s="27">
        <f>C5</f>
        <v>250000</v>
      </c>
      <c r="D16" s="25" t="s">
        <v>87</v>
      </c>
    </row>
    <row r="17" ht="15.75" customHeight="1">
      <c r="B17" t="s">
        <v>88</v>
      </c>
      <c r="C17" s="27">
        <f>C7*C8*C9</f>
        <v>468000</v>
      </c>
      <c r="D17" s="25" t="s">
        <v>89</v>
      </c>
    </row>
    <row r="18" ht="15.75" customHeight="1">
      <c r="B18" t="s">
        <v>90</v>
      </c>
      <c r="C18" s="27">
        <f t="shared" si="0" ref="C18:C19">C11</f>
        <v>500000</v>
      </c>
      <c r="D18" s="25" t="s">
        <v>87</v>
      </c>
    </row>
    <row r="19" ht="15.75" customHeight="1">
      <c r="B19" t="s">
        <v>91</v>
      </c>
      <c r="C19" s="27">
        <f t="shared" si="0"/>
        <v>100000</v>
      </c>
      <c r="D19" s="25" t="s">
        <v>87</v>
      </c>
    </row>
    <row r="20" ht="15.75" customHeight="1">
      <c r="B20" s="28" t="s">
        <v>92</v>
      </c>
      <c r="C20" s="28">
        <f>SUM(C16:C19)</f>
        <v>1318000</v>
      </c>
    </row>
    <row r="22" ht="15.75" customHeight="1">
      <c r="B22" s="29" t="s">
        <v>93</v>
      </c>
    </row>
    <row r="23" ht="15.75" customHeight="1">
      <c r="B23" t="s">
        <v>94</v>
      </c>
      <c r="C23" s="30">
        <f>IF(C13="Basic",10000,IF(C13="Pro",50000,87500))</f>
        <v>50000</v>
      </c>
      <c r="D23" s="25" t="s">
        <v>95</v>
      </c>
    </row>
    <row r="24" ht="15.75" customHeight="1">
      <c r="B24" t="s">
        <v>96</v>
      </c>
      <c r="C24" s="30">
        <f>C17*0.15</f>
        <v>70200</v>
      </c>
      <c r="D24" s="25" t="s">
        <v>97</v>
      </c>
    </row>
    <row r="25" ht="15.75" customHeight="1">
      <c r="B25" t="s">
        <v>98</v>
      </c>
      <c r="C25" s="30">
        <f>C5*0.10</f>
        <v>25000</v>
      </c>
      <c r="D25" s="25" t="s">
        <v>99</v>
      </c>
    </row>
    <row r="26" ht="15.75" customHeight="1">
      <c r="B26" t="s">
        <v>100</v>
      </c>
      <c r="C26" s="30">
        <f>C11*0.20</f>
        <v>100000</v>
      </c>
      <c r="D26" s="25" t="s">
        <v>101</v>
      </c>
    </row>
    <row r="27" ht="15.75" customHeight="1">
      <c r="B27" t="s">
        <v>102</v>
      </c>
      <c r="C27" s="30">
        <f>C12*0.10</f>
        <v>10000</v>
      </c>
      <c r="D27" s="25" t="s">
        <v>103</v>
      </c>
    </row>
    <row r="28" ht="15.75" customHeight="1">
      <c r="B28" s="31" t="s">
        <v>104</v>
      </c>
      <c r="C28" s="31">
        <f>SUM(C23:C27)</f>
        <v>255200</v>
      </c>
    </row>
    <row r="30" ht="15.75" customHeight="1">
      <c r="B30" s="32" t="s">
        <v>105</v>
      </c>
    </row>
    <row r="31" ht="15.75" customHeight="1">
      <c r="B31" s="33" t="s">
        <v>106</v>
      </c>
      <c r="C31" s="34">
        <f>C20-C28</f>
        <v>1062800</v>
      </c>
    </row>
    <row r="32" ht="15.75" customHeight="1">
      <c r="B32" s="33" t="s">
        <v>107</v>
      </c>
      <c r="C32" s="33" t="str">
        <f>ROUND((C31/C23)*100,0)&amp;"%"</f>
        <v>2126%</v>
      </c>
    </row>
    <row r="33" ht="15.75" customHeight="1">
      <c r="B33" s="33" t="s">
        <v>109</v>
      </c>
      <c r="C33" s="33" t="str">
        <f>IF((C23/C31)*12&lt;1,"&lt; 1 month",ROUND((C23/C31)*12,1)&amp;" months")</f>
        <v>&lt; 1 month</v>
      </c>
    </row>
    <row r="34" ht="15.75" customHeight="1">
      <c r="B34" s="33" t="s">
        <v>111</v>
      </c>
      <c r="C34" s="33">
        <f>C31*3</f>
        <v>3188400</v>
      </c>
    </row>
    <row r="35" ht="15.75" customHeight="1">
      <c r="B35" s="33" t="s">
        <v>112</v>
      </c>
      <c r="C35" s="33">
        <f>C31*5</f>
        <v>5314000</v>
      </c>
    </row>
  </sheetData>
  <mergeCells>
    <mergeCell ref="A1:D1"/>
    <mergeCell ref="A2:D2"/>
    <mergeCell ref="B4:D4"/>
    <mergeCell ref="B15:D15"/>
    <mergeCell ref="B22:D22"/>
    <mergeCell ref="B30:D3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1950E8-7ED8-6DE8-2858-13A54E4B4443}" mc:Ignorable="x14ac xr xr2 xr3">
  <dimension ref="A1:GR1000"/>
  <sheetViews>
    <sheetView topLeftCell="A20" workbookViewId="0">
      <selection activeCell="B28" sqref="B28:E28"/>
    </sheetView>
  </sheetViews>
  <sheetFormatPr defaultRowHeight="15" defaultColWidth="8.8515625" customHeight="1"/>
  <cols>
    <col min="1" max="1" width="0.7109375" customWidth="1"/>
    <col min="2" max="2" width="28.57421875" customWidth="1"/>
    <col min="3" max="4" width="14.28125" customWidth="1"/>
    <col min="5" max="5" width="25.7109375" customWidth="1"/>
    <col min="6" max="6" width="0.7109375" customWidth="1"/>
  </cols>
  <sheetData>
    <row r="1" ht="22.5" customHeight="1">
      <c r="A1" s="35" t="s">
        <v>113</v>
      </c>
    </row>
    <row r="3" ht="18.75" customHeight="1">
      <c r="B3" s="36" t="s">
        <v>114</v>
      </c>
    </row>
    <row r="4" ht="15" customHeight="1">
      <c r="B4" s="37" t="s">
        <v>115</v>
      </c>
      <c r="C4" s="38" t="s">
        <v>116</v>
      </c>
      <c r="D4" s="38" t="s">
        <v>117</v>
      </c>
      <c r="E4" s="37" t="s">
        <v>118</v>
      </c>
    </row>
    <row r="5" ht="15" customHeight="1">
      <c r="B5" s="39" t="s">
        <v>119</v>
      </c>
      <c r="C5" s="40" t="s">
        <v>13</v>
      </c>
      <c r="D5" s="40" t="s">
        <v>9</v>
      </c>
      <c r="E5" s="39" t="s">
        <v>120</v>
      </c>
    </row>
    <row r="6" ht="15" customHeight="1">
      <c r="B6" s="41" t="s">
        <v>121</v>
      </c>
      <c r="C6" s="42" t="s">
        <v>122</v>
      </c>
      <c r="D6" s="42" t="s">
        <v>123</v>
      </c>
      <c r="E6" s="41" t="s">
        <v>124</v>
      </c>
    </row>
    <row r="7" ht="15" customHeight="1">
      <c r="B7" s="39" t="s">
        <v>125</v>
      </c>
      <c r="C7" s="40" t="s">
        <v>126</v>
      </c>
      <c r="D7" s="40" t="s">
        <v>127</v>
      </c>
      <c r="E7" s="39" t="s">
        <v>128</v>
      </c>
    </row>
    <row r="8" ht="15" customHeight="1">
      <c r="B8" s="41" t="s">
        <v>129</v>
      </c>
      <c r="C8" s="42" t="s">
        <v>130</v>
      </c>
      <c r="D8" s="42" t="s">
        <v>131</v>
      </c>
      <c r="E8" s="41" t="s">
        <v>132</v>
      </c>
    </row>
    <row r="9" ht="15" customHeight="1">
      <c r="B9" s="39" t="s">
        <v>133</v>
      </c>
      <c r="C9" s="40" t="s">
        <v>134</v>
      </c>
      <c r="D9" s="40" t="s">
        <v>134</v>
      </c>
      <c r="E9" s="39" t="s">
        <v>135</v>
      </c>
    </row>
    <row r="10" ht="15" customHeight="1">
      <c r="B10" s="41" t="s">
        <v>136</v>
      </c>
      <c r="C10" s="42" t="s">
        <v>137</v>
      </c>
      <c r="D10" s="42" t="s">
        <v>138</v>
      </c>
      <c r="E10" s="41" t="s">
        <v>139</v>
      </c>
    </row>
    <row r="11" ht="15" customHeight="1">
      <c r="B11" s="43" t="s">
        <v>140</v>
      </c>
      <c r="C11" s="44" t="s">
        <v>13</v>
      </c>
      <c r="D11" s="44" t="s">
        <v>9</v>
      </c>
      <c r="E11" s="43"/>
    </row>
    <row r="14" ht="18.75" customHeight="1">
      <c r="B14" s="45" t="s">
        <v>141</v>
      </c>
    </row>
    <row r="15" ht="15" customHeight="1">
      <c r="B15" s="46" t="s">
        <v>115</v>
      </c>
      <c r="C15" s="47" t="s">
        <v>116</v>
      </c>
      <c r="D15" s="47" t="s">
        <v>117</v>
      </c>
      <c r="E15" s="46" t="s">
        <v>118</v>
      </c>
    </row>
    <row r="16" ht="15" customHeight="1">
      <c r="B16" s="39" t="s">
        <v>119</v>
      </c>
      <c r="C16" s="40" t="s">
        <v>14</v>
      </c>
      <c r="D16" s="40" t="s">
        <v>10</v>
      </c>
      <c r="E16" s="39" t="s">
        <v>142</v>
      </c>
    </row>
    <row r="17" ht="15" customHeight="1">
      <c r="B17" s="48" t="s">
        <v>121</v>
      </c>
      <c r="C17" s="49" t="s">
        <v>122</v>
      </c>
      <c r="D17" s="49" t="s">
        <v>123</v>
      </c>
      <c r="E17" s="48" t="s">
        <v>124</v>
      </c>
    </row>
    <row r="18" ht="15" customHeight="1">
      <c r="B18" s="39" t="s">
        <v>125</v>
      </c>
      <c r="C18" s="40" t="s">
        <v>143</v>
      </c>
      <c r="D18" s="40" t="s">
        <v>144</v>
      </c>
      <c r="E18" s="39" t="s">
        <v>145</v>
      </c>
    </row>
    <row r="19" ht="15" customHeight="1">
      <c r="B19" s="48" t="s">
        <v>129</v>
      </c>
      <c r="C19" s="49" t="s">
        <v>130</v>
      </c>
      <c r="D19" s="49" t="s">
        <v>131</v>
      </c>
      <c r="E19" s="48" t="s">
        <v>146</v>
      </c>
    </row>
    <row r="20" ht="15" customHeight="1">
      <c r="B20" s="39" t="s">
        <v>147</v>
      </c>
      <c r="C20" s="40" t="s">
        <v>148</v>
      </c>
      <c r="D20" s="40" t="s">
        <v>149</v>
      </c>
      <c r="E20" s="39" t="s">
        <v>150</v>
      </c>
    </row>
    <row r="21" ht="15" customHeight="1">
      <c r="B21" s="48" t="s">
        <v>151</v>
      </c>
      <c r="C21" s="49" t="s">
        <v>130</v>
      </c>
      <c r="D21" s="49" t="s">
        <v>131</v>
      </c>
      <c r="E21" s="48" t="s">
        <v>152</v>
      </c>
    </row>
    <row r="22" ht="15" customHeight="1">
      <c r="B22" s="39" t="s">
        <v>153</v>
      </c>
      <c r="C22" s="40" t="s">
        <v>154</v>
      </c>
      <c r="D22" s="40" t="s">
        <v>155</v>
      </c>
      <c r="E22" s="39" t="s">
        <v>156</v>
      </c>
    </row>
    <row r="23" ht="15" customHeight="1">
      <c r="B23" s="48" t="s">
        <v>157</v>
      </c>
      <c r="C23" s="49" t="s">
        <v>158</v>
      </c>
      <c r="D23" s="49" t="s">
        <v>159</v>
      </c>
      <c r="E23" s="48" t="s">
        <v>160</v>
      </c>
    </row>
    <row r="24" ht="15" customHeight="1">
      <c r="B24" s="39" t="s">
        <v>161</v>
      </c>
      <c r="C24" s="40" t="s">
        <v>162</v>
      </c>
      <c r="D24" s="40" t="s">
        <v>163</v>
      </c>
      <c r="E24" s="39" t="s">
        <v>132</v>
      </c>
    </row>
    <row r="25" ht="15" customHeight="1">
      <c r="B25" s="48" t="s">
        <v>136</v>
      </c>
      <c r="C25" s="49" t="s">
        <v>137</v>
      </c>
      <c r="D25" s="49" t="s">
        <v>138</v>
      </c>
      <c r="E25" s="48" t="s">
        <v>139</v>
      </c>
    </row>
    <row r="26" ht="15" customHeight="1">
      <c r="B26" s="50" t="s">
        <v>140</v>
      </c>
      <c r="C26" s="51" t="s">
        <v>14</v>
      </c>
      <c r="D26" s="51" t="s">
        <v>10</v>
      </c>
      <c r="E26" s="50"/>
    </row>
    <row r="28" ht="18.75" customHeight="1">
      <c r="B28" s="52" t="s">
        <v>164</v>
      </c>
    </row>
    <row r="29" ht="15" customHeight="1">
      <c r="B29" s="53" t="s">
        <v>115</v>
      </c>
      <c r="C29" s="54" t="s">
        <v>116</v>
      </c>
      <c r="D29" s="54" t="s">
        <v>117</v>
      </c>
      <c r="E29" s="53" t="s">
        <v>118</v>
      </c>
    </row>
    <row r="30" ht="15" customHeight="1">
      <c r="B30" s="39" t="s">
        <v>165</v>
      </c>
      <c r="C30" s="40" t="s">
        <v>166</v>
      </c>
      <c r="D30" s="40" t="s">
        <v>167</v>
      </c>
      <c r="E30" s="39" t="s">
        <v>168</v>
      </c>
    </row>
    <row r="31" ht="15" customHeight="1">
      <c r="B31" s="55" t="s">
        <v>169</v>
      </c>
      <c r="C31" s="56" t="s">
        <v>170</v>
      </c>
      <c r="D31" s="56" t="s">
        <v>171</v>
      </c>
      <c r="E31" s="55" t="s">
        <v>172</v>
      </c>
    </row>
    <row r="32" ht="15" customHeight="1">
      <c r="B32" s="39" t="s">
        <v>136</v>
      </c>
      <c r="C32" s="40" t="s">
        <v>137</v>
      </c>
      <c r="D32" s="40" t="s">
        <v>138</v>
      </c>
      <c r="E32" s="39" t="s">
        <v>173</v>
      </c>
    </row>
    <row r="33" ht="15" customHeight="1">
      <c r="B33" s="55" t="s">
        <v>174</v>
      </c>
      <c r="C33" s="56" t="s">
        <v>175</v>
      </c>
      <c r="D33" s="56" t="s">
        <v>171</v>
      </c>
      <c r="E33" s="55" t="s">
        <v>176</v>
      </c>
    </row>
    <row r="34" ht="15" customHeight="1">
      <c r="B34" s="57" t="s">
        <v>140</v>
      </c>
      <c r="C34" s="58" t="s">
        <v>166</v>
      </c>
      <c r="D34" s="58" t="s">
        <v>167</v>
      </c>
      <c r="E34" s="57"/>
    </row>
  </sheetData>
  <mergeCells>
    <mergeCell ref="A1:E1"/>
    <mergeCell ref="B3:E3"/>
    <mergeCell ref="B14:E14"/>
    <mergeCell ref="B28:E2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FAEF08-C9B8-D1B8-A8E6-45D13B5EF4B8}" mc:Ignorable="x14ac xr xr2 xr3">
  <dimension ref="A1:GR1000"/>
  <sheetViews>
    <sheetView topLeftCell="A13" workbookViewId="0">
      <selection activeCell="B21" sqref="B21:G21"/>
    </sheetView>
  </sheetViews>
  <sheetFormatPr defaultRowHeight="15" defaultColWidth="8.8515625" customHeight="1"/>
  <cols>
    <col min="1" max="1" width="0.7109375" customWidth="1"/>
    <col min="2" max="2" width="23.140625" customWidth="1"/>
    <col min="3" max="3" width="15.28125" customWidth="1"/>
    <col min="4" max="4" width="12.7109375" customWidth="1"/>
    <col min="5" max="5" width="16.57421875" customWidth="1"/>
    <col min="6" max="6" width="12.28125" customWidth="1"/>
    <col min="7" max="7" width="13.00390625" customWidth="1"/>
    <col min="8" max="8" width="0.7109375" customWidth="1"/>
  </cols>
  <sheetData>
    <row r="1" ht="30" customHeight="1">
      <c r="A1" s="59" t="s">
        <v>177</v>
      </c>
    </row>
    <row r="3" ht="22.5" customHeight="1">
      <c r="B3" s="60" t="s">
        <v>178</v>
      </c>
    </row>
    <row r="4" ht="15" customHeight="1">
      <c r="B4" s="61" t="s">
        <v>179</v>
      </c>
      <c r="C4" s="61" t="s">
        <v>180</v>
      </c>
      <c r="D4" s="61" t="s">
        <v>181</v>
      </c>
      <c r="E4" s="61" t="s">
        <v>182</v>
      </c>
      <c r="F4" s="61" t="s">
        <v>183</v>
      </c>
      <c r="G4" s="61" t="s">
        <v>184</v>
      </c>
    </row>
    <row r="5" ht="15" customHeight="1">
      <c r="B5" s="62" t="s">
        <v>185</v>
      </c>
      <c r="C5" s="63">
        <v>10000</v>
      </c>
      <c r="D5" s="64">
        <v>0</v>
      </c>
      <c r="E5" s="63">
        <v>0</v>
      </c>
      <c r="F5" s="63">
        <v>10000</v>
      </c>
      <c r="G5" s="63">
        <v>2000</v>
      </c>
    </row>
    <row r="6" ht="15" customHeight="1">
      <c r="B6" s="65" t="s">
        <v>186</v>
      </c>
      <c r="C6" s="66">
        <v>10000</v>
      </c>
      <c r="D6" s="67">
        <v>5</v>
      </c>
      <c r="E6" s="66">
        <v>3000</v>
      </c>
      <c r="F6" s="66">
        <v>13000</v>
      </c>
      <c r="G6" s="66">
        <v>1300</v>
      </c>
    </row>
    <row r="7" ht="15" customHeight="1">
      <c r="B7" s="62" t="s">
        <v>187</v>
      </c>
      <c r="C7" s="63">
        <v>10000</v>
      </c>
      <c r="D7" s="64">
        <v>10</v>
      </c>
      <c r="E7" s="63">
        <v>6000</v>
      </c>
      <c r="F7" s="63">
        <v>16000</v>
      </c>
      <c r="G7" s="63">
        <v>1067</v>
      </c>
    </row>
    <row r="8" ht="15" customHeight="1">
      <c r="B8" s="65" t="s">
        <v>188</v>
      </c>
      <c r="C8" s="66">
        <v>10000</v>
      </c>
      <c r="D8" s="67">
        <v>15</v>
      </c>
      <c r="E8" s="66">
        <v>9000</v>
      </c>
      <c r="F8" s="66">
        <v>19000</v>
      </c>
      <c r="G8" s="66">
        <v>950</v>
      </c>
    </row>
    <row r="9" ht="15" customHeight="1">
      <c r="B9" s="62" t="s">
        <v>189</v>
      </c>
      <c r="C9" s="63">
        <v>10000</v>
      </c>
      <c r="D9" s="64">
        <v>20</v>
      </c>
      <c r="E9" s="63">
        <v>12000</v>
      </c>
      <c r="F9" s="63">
        <v>22000</v>
      </c>
      <c r="G9" s="63">
        <v>880</v>
      </c>
    </row>
    <row r="10" ht="15" customHeight="1">
      <c r="B10" s="68" t="s">
        <v>190</v>
      </c>
      <c r="C10" s="69">
        <v>50000</v>
      </c>
      <c r="D10" s="70">
        <v>0</v>
      </c>
      <c r="E10" s="69">
        <v>0</v>
      </c>
      <c r="F10" s="69">
        <v>50000</v>
      </c>
      <c r="G10" s="69">
        <v>2000</v>
      </c>
    </row>
    <row r="12" ht="22.5" customHeight="1">
      <c r="B12" s="71" t="s">
        <v>191</v>
      </c>
    </row>
    <row r="13" ht="15" customHeight="1">
      <c r="B13" s="72" t="s">
        <v>179</v>
      </c>
      <c r="C13" s="72" t="s">
        <v>180</v>
      </c>
      <c r="D13" s="72" t="s">
        <v>181</v>
      </c>
      <c r="E13" s="72" t="s">
        <v>182</v>
      </c>
      <c r="F13" s="72" t="s">
        <v>183</v>
      </c>
      <c r="G13" s="72" t="s">
        <v>184</v>
      </c>
    </row>
    <row r="14" ht="15" customHeight="1">
      <c r="B14" s="62" t="s">
        <v>192</v>
      </c>
      <c r="C14" s="63">
        <v>50000</v>
      </c>
      <c r="D14" s="64">
        <v>0</v>
      </c>
      <c r="E14" s="63">
        <v>0</v>
      </c>
      <c r="F14" s="63">
        <v>50000</v>
      </c>
      <c r="G14" s="63">
        <v>2000</v>
      </c>
    </row>
    <row r="15" ht="15" customHeight="1">
      <c r="B15" s="73" t="s">
        <v>193</v>
      </c>
      <c r="C15" s="74">
        <v>50000</v>
      </c>
      <c r="D15" s="75">
        <v>25</v>
      </c>
      <c r="E15" s="74">
        <v>12000</v>
      </c>
      <c r="F15" s="74">
        <v>62000</v>
      </c>
      <c r="G15" s="74">
        <v>1240</v>
      </c>
    </row>
    <row r="16" ht="15" customHeight="1">
      <c r="B16" s="62" t="s">
        <v>194</v>
      </c>
      <c r="C16" s="63">
        <v>50000</v>
      </c>
      <c r="D16" s="64">
        <v>50</v>
      </c>
      <c r="E16" s="63">
        <v>24000</v>
      </c>
      <c r="F16" s="63">
        <v>74000</v>
      </c>
      <c r="G16" s="63">
        <v>987</v>
      </c>
    </row>
    <row r="17" ht="15" customHeight="1">
      <c r="B17" s="73" t="s">
        <v>195</v>
      </c>
      <c r="C17" s="74">
        <v>50000</v>
      </c>
      <c r="D17" s="75">
        <v>75</v>
      </c>
      <c r="E17" s="74">
        <v>36000</v>
      </c>
      <c r="F17" s="74">
        <v>86000</v>
      </c>
      <c r="G17" s="74">
        <v>860</v>
      </c>
    </row>
    <row r="18" ht="15" customHeight="1">
      <c r="B18" s="62" t="s">
        <v>196</v>
      </c>
      <c r="C18" s="63">
        <v>50000</v>
      </c>
      <c r="D18" s="64">
        <v>100</v>
      </c>
      <c r="E18" s="63">
        <v>48000</v>
      </c>
      <c r="F18" s="63">
        <v>98000</v>
      </c>
      <c r="G18" s="63">
        <v>784</v>
      </c>
    </row>
    <row r="19" ht="15" customHeight="1">
      <c r="B19" s="68" t="s">
        <v>197</v>
      </c>
      <c r="C19" s="69">
        <v>87500</v>
      </c>
      <c r="D19" s="70">
        <v>0</v>
      </c>
      <c r="E19" s="69">
        <v>0</v>
      </c>
      <c r="F19" s="69">
        <v>87500</v>
      </c>
      <c r="G19" s="76" t="s">
        <v>19</v>
      </c>
    </row>
    <row r="21" ht="22.5" customHeight="1">
      <c r="B21" s="77" t="s">
        <v>198</v>
      </c>
    </row>
    <row r="22" ht="15" customHeight="1">
      <c r="B22" s="78" t="s">
        <v>179</v>
      </c>
      <c r="C22" s="78" t="s">
        <v>180</v>
      </c>
      <c r="D22" s="78" t="s">
        <v>118</v>
      </c>
      <c r="E22" s="79"/>
      <c r="F22" s="79"/>
      <c r="G22" s="79"/>
    </row>
    <row r="23" ht="15" customHeight="1">
      <c r="B23" s="62" t="s">
        <v>199</v>
      </c>
      <c r="C23" s="80" t="s">
        <v>11</v>
      </c>
      <c r="D23" s="62" t="s">
        <v>200</v>
      </c>
      <c r="E23" s="79"/>
      <c r="F23" s="79"/>
      <c r="G23" s="79"/>
    </row>
    <row r="24" ht="15" customHeight="1">
      <c r="B24" s="81" t="s">
        <v>201</v>
      </c>
      <c r="C24" s="82" t="s">
        <v>202</v>
      </c>
      <c r="D24" s="81" t="s">
        <v>203</v>
      </c>
      <c r="E24" s="79"/>
      <c r="F24" s="79"/>
      <c r="G24" s="79"/>
    </row>
    <row r="25" ht="15" customHeight="1">
      <c r="B25" s="62" t="s">
        <v>204</v>
      </c>
      <c r="C25" s="80" t="s">
        <v>205</v>
      </c>
      <c r="D25" s="62" t="s">
        <v>206</v>
      </c>
      <c r="E25" s="79"/>
      <c r="F25" s="79"/>
      <c r="G25" s="79"/>
    </row>
    <row r="26" ht="15" customHeight="1">
      <c r="B26" s="81" t="s">
        <v>207</v>
      </c>
      <c r="C26" s="82" t="s">
        <v>208</v>
      </c>
      <c r="D26" s="81" t="s">
        <v>209</v>
      </c>
      <c r="E26" s="79"/>
      <c r="F26" s="79"/>
      <c r="G26" s="79"/>
    </row>
  </sheetData>
  <mergeCells>
    <mergeCell ref="A1:G1"/>
    <mergeCell ref="B3:G3"/>
    <mergeCell ref="B12:G12"/>
    <mergeCell ref="B21:G21"/>
    <mergeCell ref="D22:G22"/>
    <mergeCell ref="D23:G23"/>
    <mergeCell ref="D24:G24"/>
    <mergeCell ref="D25:G25"/>
    <mergeCell ref="D26:G2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032088-86CF-8778-1688-BCAE717A71E8}" mc:Ignorable="x14ac xr xr2 xr3">
  <dimension ref="A1:GR1000"/>
  <sheetViews>
    <sheetView topLeftCell="A15" workbookViewId="0">
      <selection activeCell="B21" sqref="B21:F21"/>
    </sheetView>
  </sheetViews>
  <sheetFormatPr defaultRowHeight="15" defaultColWidth="8.8515625" customHeight="1"/>
  <cols>
    <col min="1" max="1" width="0.7109375" customWidth="1"/>
    <col min="2" max="2" width="25.7109375" customWidth="1"/>
    <col min="3" max="3" width="17.140625" customWidth="1"/>
    <col min="4" max="4" width="20.00390625" customWidth="1"/>
    <col min="5" max="6" width="17.140625" customWidth="1"/>
    <col min="7" max="7" width="0.7109375" customWidth="1"/>
  </cols>
  <sheetData>
    <row r="1" ht="22.5" customHeight="1">
      <c r="A1" s="59" t="s">
        <v>210</v>
      </c>
    </row>
    <row r="3" ht="17.25" customHeight="1">
      <c r="B3" s="83" t="s">
        <v>211</v>
      </c>
    </row>
    <row r="4" ht="15" customHeight="1">
      <c r="B4" s="84" t="s">
        <v>212</v>
      </c>
      <c r="C4" s="85" t="s">
        <v>213</v>
      </c>
      <c r="D4" s="85" t="s">
        <v>214</v>
      </c>
      <c r="E4" s="85" t="s">
        <v>46</v>
      </c>
      <c r="F4" s="85" t="s">
        <v>215</v>
      </c>
    </row>
    <row r="5" ht="15" customHeight="1">
      <c r="B5" s="86" t="s">
        <v>216</v>
      </c>
      <c r="C5" s="87" t="s">
        <v>217</v>
      </c>
      <c r="D5" s="87" t="s">
        <v>218</v>
      </c>
      <c r="E5" s="88" t="s">
        <v>219</v>
      </c>
      <c r="F5" s="87" t="s">
        <v>220</v>
      </c>
    </row>
    <row r="6" ht="15" customHeight="1">
      <c r="B6" s="89" t="s">
        <v>221</v>
      </c>
      <c r="C6" s="90" t="s">
        <v>222</v>
      </c>
      <c r="D6" s="90" t="s">
        <v>223</v>
      </c>
      <c r="E6" s="91" t="s">
        <v>224</v>
      </c>
      <c r="F6" s="90" t="s">
        <v>225</v>
      </c>
    </row>
    <row r="7" ht="15" customHeight="1">
      <c r="B7" s="86" t="s">
        <v>226</v>
      </c>
      <c r="C7" s="87" t="s">
        <v>227</v>
      </c>
      <c r="D7" s="87" t="s">
        <v>228</v>
      </c>
      <c r="E7" s="88" t="s">
        <v>224</v>
      </c>
      <c r="F7" s="87" t="s">
        <v>229</v>
      </c>
    </row>
    <row r="8" ht="15" customHeight="1">
      <c r="B8" s="89" t="s">
        <v>230</v>
      </c>
      <c r="C8" s="90" t="s">
        <v>231</v>
      </c>
      <c r="D8" s="90" t="s">
        <v>232</v>
      </c>
      <c r="E8" s="91" t="s">
        <v>224</v>
      </c>
      <c r="F8" s="90" t="s">
        <v>233</v>
      </c>
    </row>
    <row r="9" ht="15" customHeight="1">
      <c r="B9" s="92" t="s">
        <v>234</v>
      </c>
      <c r="C9" s="93" t="s">
        <v>9</v>
      </c>
      <c r="D9" s="93" t="s">
        <v>235</v>
      </c>
      <c r="E9" s="94" t="s">
        <v>47</v>
      </c>
      <c r="F9" s="93" t="s">
        <v>236</v>
      </c>
    </row>
    <row r="10" ht="15" customHeight="1">
      <c r="B10" s="95" t="s">
        <v>237</v>
      </c>
      <c r="C10" s="96" t="s">
        <v>10</v>
      </c>
      <c r="D10" s="96" t="s">
        <v>238</v>
      </c>
      <c r="E10" s="97" t="s">
        <v>47</v>
      </c>
      <c r="F10" s="96" t="s">
        <v>239</v>
      </c>
    </row>
    <row r="11" ht="15" customHeight="1">
      <c r="B11" s="98" t="s">
        <v>240</v>
      </c>
      <c r="C11" s="99" t="s">
        <v>167</v>
      </c>
      <c r="D11" s="99" t="s">
        <v>241</v>
      </c>
      <c r="E11" s="100" t="s">
        <v>47</v>
      </c>
      <c r="F11" s="99" t="s">
        <v>242</v>
      </c>
    </row>
    <row r="14" ht="17.25" customHeight="1">
      <c r="B14" s="101" t="s">
        <v>243</v>
      </c>
    </row>
    <row r="15" ht="15" customHeight="1">
      <c r="B15" s="102" t="s">
        <v>244</v>
      </c>
      <c r="C15" s="103" t="s">
        <v>245</v>
      </c>
      <c r="D15" s="103" t="s">
        <v>246</v>
      </c>
      <c r="E15" s="103" t="s">
        <v>247</v>
      </c>
    </row>
    <row r="16" ht="15" customHeight="1">
      <c r="B16" s="92" t="s">
        <v>248</v>
      </c>
      <c r="C16" s="94" t="s">
        <v>249</v>
      </c>
      <c r="D16" s="104" t="s">
        <v>250</v>
      </c>
      <c r="E16" s="94" t="s">
        <v>251</v>
      </c>
    </row>
    <row r="17" ht="15" customHeight="1">
      <c r="B17" s="95" t="s">
        <v>83</v>
      </c>
      <c r="C17" s="97" t="s">
        <v>252</v>
      </c>
      <c r="D17" s="105" t="s">
        <v>253</v>
      </c>
      <c r="E17" s="97" t="s">
        <v>254</v>
      </c>
    </row>
    <row r="18" ht="15" customHeight="1">
      <c r="B18" s="98" t="s">
        <v>255</v>
      </c>
      <c r="C18" s="100" t="s">
        <v>256</v>
      </c>
      <c r="D18" s="106" t="s">
        <v>257</v>
      </c>
      <c r="E18" s="100" t="s">
        <v>258</v>
      </c>
    </row>
    <row r="21" ht="17.25" customHeight="1">
      <c r="B21" s="107" t="s">
        <v>259</v>
      </c>
    </row>
    <row r="22" ht="15" customHeight="1">
      <c r="B22" s="108" t="s">
        <v>260</v>
      </c>
    </row>
    <row r="23" ht="15" customHeight="1">
      <c r="B23" s="108" t="s">
        <v>261</v>
      </c>
    </row>
    <row r="24" ht="15" customHeight="1">
      <c r="B24" s="108" t="s">
        <v>262</v>
      </c>
    </row>
    <row r="25" ht="15" customHeight="1">
      <c r="B25" s="108" t="s">
        <v>263</v>
      </c>
    </row>
  </sheetData>
  <mergeCells>
    <mergeCell ref="A1:F1"/>
    <mergeCell ref="B3:F3"/>
    <mergeCell ref="B14:F14"/>
    <mergeCell ref="E15:F15"/>
    <mergeCell ref="E16:F16"/>
    <mergeCell ref="E17:F17"/>
    <mergeCell ref="E18:F18"/>
    <mergeCell ref="B21:F21"/>
    <mergeCell ref="B22:F22"/>
    <mergeCell ref="B23:F23"/>
    <mergeCell ref="B24:F24"/>
    <mergeCell ref="B25:F2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72CF58-E718-8B58-5018-DE123B126B1C}" mc:Ignorable="x14ac xr xr2 xr3">
  <dimension ref="A1:GR1000"/>
  <sheetViews>
    <sheetView topLeftCell="C11" workbookViewId="0" tabSelected="1">
      <selection activeCell="D18" sqref="D18"/>
    </sheetView>
  </sheetViews>
  <sheetFormatPr defaultRowHeight="15" defaultColWidth="8.8515625" customHeight="1"/>
  <cols>
    <col min="1" max="1" width="2.8515625" customWidth="1"/>
    <col min="2" max="2" width="34.00390625" customWidth="1"/>
    <col min="3" max="5" width="16.421875" customWidth="1"/>
    <col min="6" max="6" width="2.8515625" customWidth="1"/>
  </cols>
  <sheetData>
    <row r="1" ht="22.5" customHeight="1">
      <c r="A1" s="35" t="s">
        <v>264</v>
      </c>
    </row>
    <row r="3" ht="17.25" customHeight="1">
      <c r="B3" s="109" t="s">
        <v>265</v>
      </c>
    </row>
    <row r="4" ht="15" customHeight="1">
      <c r="B4" s="110" t="s">
        <v>266</v>
      </c>
      <c r="C4" s="111" t="s">
        <v>267</v>
      </c>
      <c r="D4" s="111" t="s">
        <v>268</v>
      </c>
      <c r="E4" s="111" t="s">
        <v>269</v>
      </c>
    </row>
    <row r="5" ht="15" customHeight="1">
      <c r="B5" t="s">
        <v>270</v>
      </c>
      <c r="C5" s="112">
        <v>15</v>
      </c>
      <c r="D5" s="112">
        <v>35</v>
      </c>
      <c r="E5" s="112">
        <v>60</v>
      </c>
    </row>
    <row r="6" ht="15" customHeight="1">
      <c r="B6" s="113" t="s">
        <v>271</v>
      </c>
      <c r="C6" s="114">
        <v>8</v>
      </c>
      <c r="D6" s="114">
        <v>20</v>
      </c>
      <c r="E6" s="114">
        <v>40</v>
      </c>
    </row>
    <row r="7" ht="15" customHeight="1">
      <c r="B7" t="s">
        <v>272</v>
      </c>
      <c r="C7" s="112">
        <v>3</v>
      </c>
      <c r="D7" s="112">
        <v>8</v>
      </c>
      <c r="E7" s="112">
        <v>15</v>
      </c>
    </row>
    <row r="8" ht="15" customHeight="1">
      <c r="B8" s="115" t="s">
        <v>273</v>
      </c>
      <c r="C8" s="116">
        <f t="shared" si="0" ref="C8:E8">SUM(C5:C7)</f>
        <v>26</v>
      </c>
      <c r="D8" s="116">
        <f t="shared" si="0"/>
        <v>63</v>
      </c>
      <c r="E8" s="116">
        <f t="shared" si="0"/>
        <v>115</v>
      </c>
    </row>
    <row r="9" ht="15" customHeight="1">
      <c r="B9" t="s">
        <v>274</v>
      </c>
      <c r="C9" s="117">
        <v>5000</v>
      </c>
      <c r="D9" s="117">
        <v>8000</v>
      </c>
      <c r="E9" s="117">
        <v>12000</v>
      </c>
    </row>
    <row r="11" ht="17.25" customHeight="1">
      <c r="B11" s="118" t="s">
        <v>275</v>
      </c>
      <c r="C11" s="119"/>
      <c r="D11" s="119"/>
      <c r="E11" s="119"/>
    </row>
    <row r="12" ht="15" customHeight="1">
      <c r="B12" s="110" t="s">
        <v>266</v>
      </c>
      <c r="C12" s="111" t="s">
        <v>267</v>
      </c>
      <c r="D12" s="111" t="s">
        <v>268</v>
      </c>
      <c r="E12" s="111" t="s">
        <v>269</v>
      </c>
    </row>
    <row r="13" ht="15" customHeight="1">
      <c r="B13" t="s">
        <v>276</v>
      </c>
      <c r="C13" s="117">
        <f t="shared" si="1" ref="C13:E13">C5*10000</f>
        <v>150000</v>
      </c>
      <c r="D13" s="117">
        <f t="shared" si="1"/>
        <v>350000</v>
      </c>
      <c r="E13" s="117">
        <f t="shared" si="1"/>
        <v>600000</v>
      </c>
    </row>
    <row r="14" ht="15" customHeight="1">
      <c r="B14" s="113" t="s">
        <v>277</v>
      </c>
      <c r="C14" s="120">
        <f t="shared" si="2" ref="C14:E14">C6*50000</f>
        <v>400000</v>
      </c>
      <c r="D14" s="120">
        <f t="shared" si="2"/>
        <v>1000000</v>
      </c>
      <c r="E14" s="120">
        <f t="shared" si="2"/>
        <v>2000000</v>
      </c>
    </row>
    <row r="15" ht="15" customHeight="1">
      <c r="B15" t="s">
        <v>278</v>
      </c>
      <c r="C15" s="117">
        <f t="shared" si="3" ref="C15:E15">C7*87500</f>
        <v>262500</v>
      </c>
      <c r="D15" s="117">
        <f t="shared" si="3"/>
        <v>700000</v>
      </c>
      <c r="E15" s="117">
        <f t="shared" si="3"/>
        <v>1312500</v>
      </c>
    </row>
    <row r="16" ht="15" customHeight="1">
      <c r="B16" s="113" t="s">
        <v>279</v>
      </c>
      <c r="C16" s="120">
        <f t="shared" si="4" ref="C16:E16">C8*C9</f>
        <v>130000</v>
      </c>
      <c r="D16" s="120">
        <f t="shared" si="4"/>
        <v>504000</v>
      </c>
      <c r="E16" s="120">
        <f t="shared" si="4"/>
        <v>1380000</v>
      </c>
    </row>
    <row r="17" ht="15" customHeight="1">
      <c r="B17" s="121" t="s">
        <v>280</v>
      </c>
      <c r="C17" s="122">
        <f t="shared" si="5" ref="C17:E17">SUM(C13:C16)</f>
        <v>942500</v>
      </c>
      <c r="D17" s="122">
        <f t="shared" si="5"/>
        <v>2554000</v>
      </c>
      <c r="E17" s="122">
        <f t="shared" si="5"/>
        <v>5292500</v>
      </c>
    </row>
    <row r="18" ht="15.75" customHeight="1">
      <c r="B18" s="113" t="s">
        <v>281</v>
      </c>
      <c r="C18" s="123" t="s">
        <v>134</v>
      </c>
      <c r="D18" s="124">
        <f t="shared" si="6" ref="D18:E18">(D17-C17)/C17</f>
        <v>1.70981432360743</v>
      </c>
      <c r="E18" s="124">
        <f t="shared" si="6"/>
        <v>1.07223962411903</v>
      </c>
    </row>
    <row r="20" ht="17.25" customHeight="1">
      <c r="B20" s="125" t="s">
        <v>282</v>
      </c>
      <c r="C20" s="119"/>
      <c r="D20" s="119"/>
      <c r="E20" s="119"/>
    </row>
    <row r="21" ht="15" customHeight="1">
      <c r="B21" s="110" t="s">
        <v>266</v>
      </c>
      <c r="C21" s="111" t="s">
        <v>267</v>
      </c>
      <c r="D21" s="111" t="s">
        <v>268</v>
      </c>
      <c r="E21" s="111" t="s">
        <v>269</v>
      </c>
    </row>
    <row r="22" ht="15" customHeight="1">
      <c r="B22" t="s">
        <v>283</v>
      </c>
      <c r="C22" s="117">
        <v>269920</v>
      </c>
      <c r="D22" s="117">
        <v>350000</v>
      </c>
      <c r="E22" s="117">
        <v>500000</v>
      </c>
    </row>
    <row r="23" ht="15" customHeight="1">
      <c r="B23" s="113" t="s">
        <v>284</v>
      </c>
      <c r="C23" s="120">
        <v>144600</v>
      </c>
      <c r="D23" s="120">
        <v>200000</v>
      </c>
      <c r="E23" s="120">
        <v>300000</v>
      </c>
    </row>
    <row r="24" ht="15" customHeight="1">
      <c r="B24" t="s">
        <v>285</v>
      </c>
      <c r="C24" s="117">
        <v>67480</v>
      </c>
      <c r="D24" s="117">
        <v>200000</v>
      </c>
      <c r="E24" s="117">
        <v>400000</v>
      </c>
    </row>
    <row r="25" ht="15" customHeight="1">
      <c r="B25" s="113" t="s">
        <v>286</v>
      </c>
      <c r="C25" s="120">
        <v>50000</v>
      </c>
      <c r="D25" s="120">
        <v>150000</v>
      </c>
      <c r="E25" s="120">
        <v>250000</v>
      </c>
    </row>
    <row r="26" ht="15" customHeight="1">
      <c r="B26" t="s">
        <v>287</v>
      </c>
      <c r="C26" s="117">
        <v>30000</v>
      </c>
      <c r="D26" s="117">
        <v>60000</v>
      </c>
      <c r="E26" s="117">
        <v>120000</v>
      </c>
    </row>
    <row r="27" ht="15" customHeight="1">
      <c r="B27" s="126" t="s">
        <v>288</v>
      </c>
      <c r="C27" s="127">
        <f t="shared" si="7" ref="C27:E27">SUM(C22:C26)</f>
        <v>562000</v>
      </c>
      <c r="D27" s="127">
        <f t="shared" si="7"/>
        <v>960000</v>
      </c>
      <c r="E27" s="127">
        <f t="shared" si="7"/>
        <v>1570000</v>
      </c>
    </row>
    <row r="29" ht="17.25" customHeight="1">
      <c r="B29" s="128" t="s">
        <v>289</v>
      </c>
      <c r="C29" s="119"/>
      <c r="D29" s="119"/>
      <c r="E29" s="119"/>
    </row>
    <row r="30" ht="15" customHeight="1">
      <c r="B30" s="110" t="s">
        <v>266</v>
      </c>
      <c r="C30" s="111" t="s">
        <v>267</v>
      </c>
      <c r="D30" s="111" t="s">
        <v>268</v>
      </c>
      <c r="E30" s="111" t="s">
        <v>269</v>
      </c>
    </row>
    <row r="31" ht="15" customHeight="1">
      <c r="B31" t="s">
        <v>290</v>
      </c>
      <c r="C31" s="117">
        <f t="shared" si="8" ref="C31:E31">C17</f>
        <v>942500</v>
      </c>
      <c r="D31" s="117">
        <f t="shared" si="8"/>
        <v>2554000</v>
      </c>
      <c r="E31" s="117">
        <f t="shared" si="8"/>
        <v>5292500</v>
      </c>
    </row>
    <row r="32" ht="15" customHeight="1">
      <c r="B32" s="113" t="s">
        <v>291</v>
      </c>
      <c r="C32" s="120">
        <f t="shared" si="9" ref="C32:E32">C27</f>
        <v>562000</v>
      </c>
      <c r="D32" s="120">
        <f t="shared" si="9"/>
        <v>960000</v>
      </c>
      <c r="E32" s="120">
        <f t="shared" si="9"/>
        <v>1570000</v>
      </c>
    </row>
    <row r="33" ht="15" customHeight="1">
      <c r="B33" t="s">
        <v>292</v>
      </c>
      <c r="C33" s="117">
        <f t="shared" si="10" ref="C33:E33">C31-C32</f>
        <v>380500</v>
      </c>
      <c r="D33" s="117">
        <f t="shared" si="10"/>
        <v>1594000</v>
      </c>
      <c r="E33" s="117">
        <f t="shared" si="10"/>
        <v>3722500</v>
      </c>
    </row>
    <row r="34" ht="15.75" customHeight="1">
      <c r="B34" s="113" t="s">
        <v>293</v>
      </c>
      <c r="C34" s="129">
        <f t="shared" si="11" ref="C34:E34">C33/C31</f>
        <v>0.403713527851459</v>
      </c>
      <c r="D34" s="129">
        <f t="shared" si="11"/>
        <v>0.624119028974158</v>
      </c>
      <c r="E34" s="129">
        <f t="shared" si="11"/>
        <v>0.703353802550779</v>
      </c>
    </row>
    <row r="35" ht="15" customHeight="1">
      <c r="B35" s="130" t="s">
        <v>294</v>
      </c>
      <c r="C35" s="131">
        <f t="shared" si="12" ref="C35:E35">C33</f>
        <v>380500</v>
      </c>
      <c r="D35" s="131">
        <f t="shared" si="12"/>
        <v>1594000</v>
      </c>
      <c r="E35" s="131">
        <f t="shared" si="12"/>
        <v>3722500</v>
      </c>
    </row>
    <row r="36" ht="15" customHeight="1">
      <c r="B36" s="113" t="s">
        <v>295</v>
      </c>
      <c r="C36" s="120">
        <f>C17</f>
        <v>942500</v>
      </c>
      <c r="D36" s="120">
        <f t="shared" si="13" ref="D36:E36">C36+D17</f>
        <v>3496500</v>
      </c>
      <c r="E36" s="120">
        <f t="shared" si="13"/>
        <v>8789000</v>
      </c>
    </row>
    <row r="38" ht="17.25" customHeight="1">
      <c r="B38" s="132" t="s">
        <v>296</v>
      </c>
      <c r="C38" s="119"/>
      <c r="D38" s="119"/>
      <c r="E38" s="119"/>
    </row>
    <row r="39" ht="15" customHeight="1">
      <c r="B39" s="110" t="s">
        <v>266</v>
      </c>
      <c r="C39" s="111" t="s">
        <v>267</v>
      </c>
      <c r="D39" s="111" t="s">
        <v>268</v>
      </c>
      <c r="E39" s="111" t="s">
        <v>269</v>
      </c>
    </row>
    <row r="40" ht="15" customHeight="1">
      <c r="B40" t="s">
        <v>297</v>
      </c>
      <c r="C40" s="117">
        <v>1300000000</v>
      </c>
      <c r="D40" s="117">
        <v>2000000000</v>
      </c>
      <c r="E40" s="117">
        <v>2900000000</v>
      </c>
    </row>
    <row r="41" ht="15" customHeight="1">
      <c r="B41" s="113" t="s">
        <v>298</v>
      </c>
      <c r="C41" s="120">
        <v>456000000</v>
      </c>
      <c r="D41" s="120">
        <v>600000000</v>
      </c>
      <c r="E41" s="120">
        <v>800000000</v>
      </c>
    </row>
    <row r="42" ht="15" customHeight="1">
      <c r="B42" t="s">
        <v>299</v>
      </c>
      <c r="C42" s="117">
        <v>8000000</v>
      </c>
      <c r="D42" s="117">
        <v>25000000</v>
      </c>
      <c r="E42" s="117">
        <v>60000000</v>
      </c>
    </row>
    <row r="43" ht="15.75" customHeight="1">
      <c r="B43" s="113" t="s">
        <v>300</v>
      </c>
      <c r="C43" s="129">
        <f t="shared" si="14" ref="C43:E43">C17/C42</f>
        <v>0.1178125</v>
      </c>
      <c r="D43" s="129">
        <f t="shared" si="14"/>
        <v>0.10216</v>
      </c>
      <c r="E43" s="129">
        <f t="shared" si="14"/>
        <v>0.0882083333333333</v>
      </c>
    </row>
    <row r="44" ht="15.75" customHeight="1">
      <c r="B44" t="s">
        <v>301</v>
      </c>
      <c r="C44" s="133">
        <f t="shared" si="15" ref="C44:E44">C17/C41</f>
        <v>0.00206688596491228</v>
      </c>
      <c r="D44" s="133">
        <f t="shared" si="15"/>
        <v>0.00425666666666667</v>
      </c>
      <c r="E44" s="133">
        <f t="shared" si="15"/>
        <v>0.006615625</v>
      </c>
    </row>
  </sheetData>
  <mergeCells>
    <mergeCell ref="A1:E1"/>
    <mergeCell ref="B3:E3"/>
    <mergeCell ref="B11:E11"/>
    <mergeCell ref="B20:E20"/>
    <mergeCell ref="B29:E29"/>
    <mergeCell ref="B38:E3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2026-03-19T13:48:15Z</dcterms:created>
</cp:coreProperties>
</file>