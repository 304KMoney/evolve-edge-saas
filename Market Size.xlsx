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SAMSOM" sheetId="1" r:id="rId4"/>
    <sheet state="visible" name="Input data" sheetId="2" r:id="rId5"/>
  </sheets>
  <definedNames>
    <definedName name="Large_yearly_subscription">'Input data'!$B$5</definedName>
    <definedName name="Medium_yearly_subscription">'Input data'!$B$4</definedName>
    <definedName name="Total_entities_purchasing">#REF!</definedName>
    <definedName name="Small_yearly_subscription">'Input data'!$B$3</definedName>
    <definedName name="CAGR">'Input data'!$B$6</definedName>
    <definedName name="Average_purchase_price">#REF!</definedName>
    <definedName name="Average_purchases_per_year">#REF!</definedName>
  </definedNames>
  <calcPr/>
</workbook>
</file>

<file path=xl/sharedStrings.xml><?xml version="1.0" encoding="utf-8"?>
<sst xmlns="http://schemas.openxmlformats.org/spreadsheetml/2006/main" count="87" uniqueCount="76">
  <si>
    <t>Year</t>
  </si>
  <si>
    <t>CAGR</t>
  </si>
  <si>
    <t>Total small entities purchasing</t>
  </si>
  <si>
    <t>Total medium entities purchasing</t>
  </si>
  <si>
    <t>Total large entities purchasing</t>
  </si>
  <si>
    <t>Small revenue</t>
  </si>
  <si>
    <t>Medium revenue</t>
  </si>
  <si>
    <t>Large revenue</t>
  </si>
  <si>
    <t>TAM</t>
  </si>
  <si>
    <t>Niche</t>
  </si>
  <si>
    <t>US (Fin/Hlth)</t>
  </si>
  <si>
    <t>US/UK/EU (Fin/Hlth/Hsp/Rtl)</t>
  </si>
  <si>
    <t>Global</t>
  </si>
  <si>
    <t>Niche #1</t>
  </si>
  <si>
    <t>Niche #1, 2, 3</t>
  </si>
  <si>
    <t>Niche #1, 2, 3, 4</t>
  </si>
  <si>
    <t>SAM expansion growth rate</t>
  </si>
  <si>
    <t>Niche #1 small entities purchasing</t>
  </si>
  <si>
    <t>Niche #1 medium entities purchasing</t>
  </si>
  <si>
    <t>Niche #1 large entities purchasing</t>
  </si>
  <si>
    <t>Niche #1 % in year</t>
  </si>
  <si>
    <t>Niche #2 small entities purchasing</t>
  </si>
  <si>
    <t>Niche #2 medium entities purchasing</t>
  </si>
  <si>
    <t>Niche #2 large entities purchasing</t>
  </si>
  <si>
    <t>Niche #2 % in year</t>
  </si>
  <si>
    <t>Niche #3 small entities purchasing</t>
  </si>
  <si>
    <t>Niche #3 medium entities purchasing</t>
  </si>
  <si>
    <t>Niche #3 large entities purchasing</t>
  </si>
  <si>
    <t>Niche #3 % in year</t>
  </si>
  <si>
    <t>Niche #4 small entities purchasing</t>
  </si>
  <si>
    <t>Niche #4 medium entities purchasing</t>
  </si>
  <si>
    <t>Niche #4 large entities purchasing</t>
  </si>
  <si>
    <t>Niche #4 % in year</t>
  </si>
  <si>
    <t>SAM</t>
  </si>
  <si>
    <t>SAM/TAM</t>
  </si>
  <si>
    <t>Revenue</t>
  </si>
  <si>
    <t>SOM</t>
  </si>
  <si>
    <t>SOM/SAM</t>
  </si>
  <si>
    <t>SOM/TAM</t>
  </si>
  <si>
    <t>Name</t>
  </si>
  <si>
    <t>Value</t>
  </si>
  <si>
    <t>Description</t>
  </si>
  <si>
    <t>Link</t>
  </si>
  <si>
    <t>Currency</t>
  </si>
  <si>
    <t>USD ($)</t>
  </si>
  <si>
    <t>Small yearly subscription</t>
  </si>
  <si>
    <t>Direct from business plan</t>
  </si>
  <si>
    <t>Business Plan</t>
  </si>
  <si>
    <t>Medium yearly subscription</t>
  </si>
  <si>
    <t>Large yearly subscription</t>
  </si>
  <si>
    <t>Average cross industry estimates</t>
  </si>
  <si>
    <t>Start month</t>
  </si>
  <si>
    <t>US (Financial/Healthcare)</t>
  </si>
  <si>
    <t>Niche #2</t>
  </si>
  <si>
    <t>US (Hospitality/Retail)</t>
  </si>
  <si>
    <t>Niche #3</t>
  </si>
  <si>
    <t>Europe (Fin/Health/Hosp./Retail)</t>
  </si>
  <si>
    <t>Niche #4</t>
  </si>
  <si>
    <t>ROW (Fin/Health/Hosp./Retail)</t>
  </si>
  <si>
    <t>Canada, Asia, Middle East, South America &amp; Africa</t>
  </si>
  <si>
    <t>Small</t>
  </si>
  <si>
    <t>Mid-tier</t>
  </si>
  <si>
    <t>Large</t>
  </si>
  <si>
    <t>Niche #1 entities purchasing</t>
  </si>
  <si>
    <t>14,800 banks, credit unions, insurers etc.
400 parent health providers (6,000 hospitals)</t>
  </si>
  <si>
    <t>Niche #2 entities purchasing</t>
  </si>
  <si>
    <t>~180,000 chains with 10+ locations (subset = ~500 restaurant chains, ~100 major retailers, ~50–100 hotel groups).</t>
  </si>
  <si>
    <t>Niche #3 entities purchasing</t>
  </si>
  <si>
    <t>~6,300–7,300 entities (≈5,300 banks + 1–2k insurers)
~10,465 hospitals (estimating 1,000 parent health providers)
~600–800 large parent chains</t>
  </si>
  <si>
    <t>Niche #4 entities purchasing</t>
  </si>
  <si>
    <t>Canada: 300/250/250
Oceana: 320/230/150
Middle East: 650/450/300
Asia: 4,000/2,500/1,500
South America: 1,100/700/400
Africa: 1,050/500/250</t>
  </si>
  <si>
    <t>Y1 Revenue</t>
  </si>
  <si>
    <t>Y2 Revenue</t>
  </si>
  <si>
    <t>Y3 Revenue</t>
  </si>
  <si>
    <t>Y4 Revenue</t>
  </si>
  <si>
    <t>Y5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</si>
</sst>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[$£-809]#,##0"/>
    <numFmt numFmtId="166" formatCode="0.0%"/>
  </numFmts>
  <fonts count="12">
    <font>
      <sz val="10.0"/>
      <color rgb="FF000000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3" fontId="4" numFmtId="3" xfId="0" applyAlignment="1" applyFont="1" applyNumberFormat="1">
      <alignment readingOrder="0" vertical="bottom"/>
    </xf>
    <xf borderId="0" fillId="3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3" fontId="5" numFmtId="3" xfId="0" applyAlignment="1" applyFont="1" applyNumberFormat="1">
      <alignment readingOrder="0"/>
    </xf>
    <xf borderId="0" fillId="2" fontId="6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  <xf borderId="0" fillId="3" fontId="5" numFmtId="0" xfId="0" applyAlignment="1" applyFont="1">
      <alignment readingOrder="0"/>
    </xf>
    <xf borderId="0" fillId="2" fontId="6" numFmtId="165" xfId="0" applyFont="1" applyNumberFormat="1"/>
    <xf borderId="0" fillId="0" fontId="3" numFmtId="165" xfId="0" applyFont="1" applyNumberFormat="1"/>
    <xf borderId="0" fillId="0" fontId="3" numFmtId="166" xfId="0" applyAlignment="1" applyFont="1" applyNumberFormat="1">
      <alignment readingOrder="0"/>
    </xf>
    <xf borderId="0" fillId="0" fontId="3" numFmtId="166" xfId="0" applyFont="1" applyNumberFormat="1"/>
    <xf borderId="0" fillId="3" fontId="3" numFmtId="0" xfId="0" applyFont="1"/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7" numFmtId="3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1" numFmtId="3" xfId="0" applyAlignment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Jk8MnezfCHs0fRnt14hOzmioutdmQbEiC11p-8uoBM/edit?usp=sharing" TargetMode="External"/><Relationship Id="rId2" Type="http://schemas.openxmlformats.org/officeDocument/2006/relationships/hyperlink" Target="https://docs.google.com/spreadsheets/d/1_Jk8MnezfCHs0fRnt14hOzmioutdmQbEiC11p-8uoBM/edit?usp=sharing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38"/>
    <col customWidth="1" min="2" max="6" width="21.25"/>
  </cols>
  <sheetData>
    <row r="1">
      <c r="A1" s="1" t="s">
        <v>0</v>
      </c>
      <c r="B1" s="1">
        <v>1.0</v>
      </c>
      <c r="C1" s="2">
        <f t="shared" ref="C1:F1" si="1">B1+1</f>
        <v>2</v>
      </c>
      <c r="D1" s="2">
        <f t="shared" si="1"/>
        <v>3</v>
      </c>
      <c r="E1" s="2">
        <f t="shared" si="1"/>
        <v>4</v>
      </c>
      <c r="F1" s="2">
        <f t="shared" si="1"/>
        <v>5</v>
      </c>
    </row>
    <row r="2">
      <c r="A2" s="3" t="s">
        <v>1</v>
      </c>
      <c r="B2" s="4"/>
      <c r="C2" s="4">
        <f>CAGR</f>
        <v>0.215</v>
      </c>
      <c r="D2" s="4">
        <f t="shared" ref="D2:F2" si="2">C2</f>
        <v>0.215</v>
      </c>
      <c r="E2" s="4">
        <f t="shared" si="2"/>
        <v>0.215</v>
      </c>
      <c r="F2" s="4">
        <f t="shared" si="2"/>
        <v>0.215</v>
      </c>
    </row>
    <row r="3">
      <c r="A3" s="3"/>
      <c r="B3" s="5"/>
      <c r="C3" s="6"/>
      <c r="D3" s="6"/>
      <c r="E3" s="6"/>
      <c r="F3" s="6"/>
    </row>
    <row r="4">
      <c r="A4" s="7" t="s">
        <v>2</v>
      </c>
      <c r="B4" s="5">
        <f>sum('Input data'!B$14:B$17)</f>
        <v>21030</v>
      </c>
      <c r="C4" s="6">
        <f t="shared" ref="C4:F4" si="3">B4*(1+C$2)</f>
        <v>25551.45</v>
      </c>
      <c r="D4" s="6">
        <f t="shared" si="3"/>
        <v>31045.01175</v>
      </c>
      <c r="E4" s="6">
        <f t="shared" si="3"/>
        <v>37719.68928</v>
      </c>
      <c r="F4" s="6">
        <f t="shared" si="3"/>
        <v>45829.42247</v>
      </c>
    </row>
    <row r="5">
      <c r="A5" s="7" t="s">
        <v>3</v>
      </c>
      <c r="B5" s="5">
        <f>sum('Input data'!C$14:C$17)</f>
        <v>12220</v>
      </c>
      <c r="C5" s="6">
        <f t="shared" ref="C5:F5" si="4">B5*(1+C$2)</f>
        <v>14847.3</v>
      </c>
      <c r="D5" s="6">
        <f t="shared" si="4"/>
        <v>18039.4695</v>
      </c>
      <c r="E5" s="6">
        <f t="shared" si="4"/>
        <v>21917.95544</v>
      </c>
      <c r="F5" s="6">
        <f t="shared" si="4"/>
        <v>26630.31586</v>
      </c>
    </row>
    <row r="6">
      <c r="A6" s="7" t="s">
        <v>4</v>
      </c>
      <c r="B6" s="5">
        <f>sum('Input data'!D$14:D$17)</f>
        <v>6225</v>
      </c>
      <c r="C6" s="6">
        <f t="shared" ref="C6:F6" si="5">B6*(1+C$2)</f>
        <v>7563.375</v>
      </c>
      <c r="D6" s="6">
        <f t="shared" si="5"/>
        <v>9189.500625</v>
      </c>
      <c r="E6" s="6">
        <f t="shared" si="5"/>
        <v>11165.24326</v>
      </c>
      <c r="F6" s="6">
        <f t="shared" si="5"/>
        <v>13565.77056</v>
      </c>
    </row>
    <row r="7">
      <c r="A7" s="8" t="s">
        <v>5</v>
      </c>
      <c r="B7" s="9">
        <f>Small_yearly_subscription*B4</f>
        <v>210300000</v>
      </c>
      <c r="C7" s="9">
        <f>Small_yearly_subscription*C4</f>
        <v>255514500</v>
      </c>
      <c r="D7" s="9">
        <f>Small_yearly_subscription*D4</f>
        <v>310450117.5</v>
      </c>
      <c r="E7" s="9">
        <f>Small_yearly_subscription*E4</f>
        <v>377196892.8</v>
      </c>
      <c r="F7" s="9">
        <f>Small_yearly_subscription*F4</f>
        <v>458294224.7</v>
      </c>
    </row>
    <row r="8">
      <c r="A8" s="8" t="s">
        <v>6</v>
      </c>
      <c r="B8" s="9">
        <f>Medium_yearly_subscription*B5</f>
        <v>611000000</v>
      </c>
      <c r="C8" s="9">
        <f>Medium_yearly_subscription*C5</f>
        <v>742365000</v>
      </c>
      <c r="D8" s="9">
        <f>Medium_yearly_subscription*D5</f>
        <v>901973475</v>
      </c>
      <c r="E8" s="9">
        <f>Medium_yearly_subscription*E5</f>
        <v>1095897772</v>
      </c>
      <c r="F8" s="9">
        <f>Medium_yearly_subscription*F5</f>
        <v>1331515793</v>
      </c>
    </row>
    <row r="9">
      <c r="A9" s="8" t="s">
        <v>7</v>
      </c>
      <c r="B9" s="9">
        <f>Large_yearly_subscription*B6</f>
        <v>498000000</v>
      </c>
      <c r="C9" s="9">
        <f>Large_yearly_subscription*C6</f>
        <v>605070000</v>
      </c>
      <c r="D9" s="9">
        <f>Large_yearly_subscription*D6</f>
        <v>735160050</v>
      </c>
      <c r="E9" s="9">
        <f>Large_yearly_subscription*E6</f>
        <v>893219460.8</v>
      </c>
      <c r="F9" s="9">
        <f>Large_yearly_subscription*F6</f>
        <v>1085261645</v>
      </c>
    </row>
    <row r="10">
      <c r="A10" s="10" t="s">
        <v>8</v>
      </c>
      <c r="B10" s="11">
        <f t="shared" ref="B10:F10" si="6">sum(B7:B9)</f>
        <v>1319300000</v>
      </c>
      <c r="C10" s="9">
        <f t="shared" si="6"/>
        <v>1602949500</v>
      </c>
      <c r="D10" s="9">
        <f t="shared" si="6"/>
        <v>1947583643</v>
      </c>
      <c r="E10" s="9">
        <f t="shared" si="6"/>
        <v>2366314126</v>
      </c>
      <c r="F10" s="11">
        <f t="shared" si="6"/>
        <v>2875071663</v>
      </c>
    </row>
    <row r="11">
      <c r="A11" s="3"/>
      <c r="B11" s="4"/>
      <c r="C11" s="4"/>
      <c r="D11" s="4"/>
      <c r="E11" s="4"/>
      <c r="F11" s="4"/>
    </row>
    <row r="12">
      <c r="A12" s="3" t="s">
        <v>9</v>
      </c>
      <c r="B12" s="12" t="s">
        <v>10</v>
      </c>
      <c r="C12" s="12" t="s">
        <v>10</v>
      </c>
      <c r="D12" s="12" t="s">
        <v>11</v>
      </c>
      <c r="E12" s="12" t="s">
        <v>12</v>
      </c>
      <c r="F12" s="12" t="s">
        <v>12</v>
      </c>
    </row>
    <row r="13">
      <c r="A13" s="3"/>
      <c r="B13" s="12" t="s">
        <v>13</v>
      </c>
      <c r="C13" s="12" t="s">
        <v>13</v>
      </c>
      <c r="D13" s="12" t="s">
        <v>14</v>
      </c>
      <c r="E13" s="12" t="s">
        <v>15</v>
      </c>
      <c r="F13" s="12" t="s">
        <v>15</v>
      </c>
    </row>
    <row r="14">
      <c r="A14" s="3" t="s">
        <v>16</v>
      </c>
      <c r="B14" s="4"/>
      <c r="C14" s="4">
        <f t="shared" ref="C14:F14" si="7">((C34/(1+C2))-B34)/B34</f>
        <v>0</v>
      </c>
      <c r="D14" s="4">
        <f t="shared" si="7"/>
        <v>0.7243195786</v>
      </c>
      <c r="E14" s="4">
        <f t="shared" si="7"/>
        <v>0.6793533605</v>
      </c>
      <c r="F14" s="4">
        <f t="shared" si="7"/>
        <v>0</v>
      </c>
    </row>
    <row r="15">
      <c r="A15" s="13" t="s">
        <v>2</v>
      </c>
      <c r="B15" s="5">
        <f t="shared" ref="B15:F15" si="8">(B18*B$21)+(B22*B$25)+(B26*B$29)+(B30*B$33)</f>
        <v>8900</v>
      </c>
      <c r="C15" s="5">
        <f t="shared" si="8"/>
        <v>10813.5</v>
      </c>
      <c r="D15" s="5">
        <f t="shared" si="8"/>
        <v>20091.42225</v>
      </c>
      <c r="E15" s="5">
        <f t="shared" si="8"/>
        <v>37719.68928</v>
      </c>
      <c r="F15" s="5">
        <f t="shared" si="8"/>
        <v>45829.42247</v>
      </c>
    </row>
    <row r="16">
      <c r="A16" s="13" t="s">
        <v>3</v>
      </c>
      <c r="B16" s="5">
        <f t="shared" ref="B16:F16" si="9">(B19*B$21)+(B23*B$25)+(B27*B$29)+(B31*B$33)</f>
        <v>4580</v>
      </c>
      <c r="C16" s="5">
        <f t="shared" si="9"/>
        <v>5564.7</v>
      </c>
      <c r="D16" s="5">
        <f t="shared" si="9"/>
        <v>11204.54775</v>
      </c>
      <c r="E16" s="5">
        <f t="shared" si="9"/>
        <v>21917.95544</v>
      </c>
      <c r="F16" s="5">
        <f t="shared" si="9"/>
        <v>26630.31586</v>
      </c>
    </row>
    <row r="17">
      <c r="A17" s="13" t="s">
        <v>4</v>
      </c>
      <c r="B17" s="5">
        <f t="shared" ref="B17:F17" si="10">(B20*B$21)+(B24*B$25)+(B28*B$29)+(B32*B$33)</f>
        <v>1720</v>
      </c>
      <c r="C17" s="5">
        <f t="shared" si="10"/>
        <v>2089.8</v>
      </c>
      <c r="D17" s="5">
        <f t="shared" si="10"/>
        <v>4982.259375</v>
      </c>
      <c r="E17" s="5">
        <f t="shared" si="10"/>
        <v>11165.24326</v>
      </c>
      <c r="F17" s="5">
        <f t="shared" si="10"/>
        <v>13565.77056</v>
      </c>
    </row>
    <row r="18" hidden="1">
      <c r="A18" s="13" t="s">
        <v>17</v>
      </c>
      <c r="B18" s="5">
        <f>'Input data'!B$14</f>
        <v>8900</v>
      </c>
      <c r="C18" s="14">
        <f t="shared" ref="C18:F18" si="11">B18*(1+C$2)</f>
        <v>10813.5</v>
      </c>
      <c r="D18" s="14">
        <f t="shared" si="11"/>
        <v>13138.4025</v>
      </c>
      <c r="E18" s="14">
        <f t="shared" si="11"/>
        <v>15963.15904</v>
      </c>
      <c r="F18" s="14">
        <f t="shared" si="11"/>
        <v>19395.23823</v>
      </c>
    </row>
    <row r="19" hidden="1">
      <c r="A19" s="13" t="s">
        <v>18</v>
      </c>
      <c r="B19" s="5">
        <f>'Input data'!C$14</f>
        <v>4580</v>
      </c>
      <c r="C19" s="14">
        <f t="shared" ref="C19:F19" si="12">B19*(1+C$2)</f>
        <v>5564.7</v>
      </c>
      <c r="D19" s="14">
        <f t="shared" si="12"/>
        <v>6761.1105</v>
      </c>
      <c r="E19" s="14">
        <f t="shared" si="12"/>
        <v>8214.749258</v>
      </c>
      <c r="F19" s="14">
        <f t="shared" si="12"/>
        <v>9980.920348</v>
      </c>
    </row>
    <row r="20" hidden="1">
      <c r="A20" s="13" t="s">
        <v>19</v>
      </c>
      <c r="B20" s="5">
        <f>'Input data'!D$14</f>
        <v>1720</v>
      </c>
      <c r="C20" s="14">
        <f t="shared" ref="C20:F20" si="13">B20*(1+C$2)</f>
        <v>2089.8</v>
      </c>
      <c r="D20" s="14">
        <f t="shared" si="13"/>
        <v>2539.107</v>
      </c>
      <c r="E20" s="14">
        <f t="shared" si="13"/>
        <v>3085.015005</v>
      </c>
      <c r="F20" s="14">
        <f t="shared" si="13"/>
        <v>3748.293231</v>
      </c>
    </row>
    <row r="21" hidden="1">
      <c r="A21" s="15" t="s">
        <v>20</v>
      </c>
      <c r="B21" s="16">
        <f>MAX(0,(12*B$1) - MAX('Input data'!$C8, 12*(B$1-1) + 1) + 1) / 12</f>
        <v>1</v>
      </c>
      <c r="C21" s="16">
        <f>MAX(0,(12*C$1) - MAX('Input data'!$C8, 12*(C$1-1) + 1) + 1) / 12</f>
        <v>1</v>
      </c>
      <c r="D21" s="16">
        <f>MAX(0,(12*D$1) - MAX('Input data'!$C8, 12*(D$1-1) + 1) + 1) / 12</f>
        <v>1</v>
      </c>
      <c r="E21" s="16">
        <f>MAX(0,(12*E$1) - MAX('Input data'!$C8, 12*(E$1-1) + 1) + 1) / 12</f>
        <v>1</v>
      </c>
      <c r="F21" s="16">
        <f>MAX(0,(12*F$1) - MAX('Input data'!$C8, 12*(F$1-1) + 1) + 1) / 12</f>
        <v>1</v>
      </c>
    </row>
    <row r="22" hidden="1">
      <c r="A22" s="13" t="s">
        <v>21</v>
      </c>
      <c r="B22" s="5">
        <f>'Input data'!B$15</f>
        <v>285</v>
      </c>
      <c r="C22" s="14">
        <f t="shared" ref="C22:F22" si="14">B22*(1+C$2)</f>
        <v>346.275</v>
      </c>
      <c r="D22" s="14">
        <f t="shared" si="14"/>
        <v>420.724125</v>
      </c>
      <c r="E22" s="14">
        <f t="shared" si="14"/>
        <v>511.1798119</v>
      </c>
      <c r="F22" s="14">
        <f t="shared" si="14"/>
        <v>621.0834714</v>
      </c>
    </row>
    <row r="23" hidden="1">
      <c r="A23" s="13" t="s">
        <v>22</v>
      </c>
      <c r="B23" s="5">
        <f>'Input data'!C$15</f>
        <v>245</v>
      </c>
      <c r="C23" s="14">
        <f t="shared" ref="C23:F23" si="15">B23*(1+C$2)</f>
        <v>297.675</v>
      </c>
      <c r="D23" s="14">
        <f t="shared" si="15"/>
        <v>361.675125</v>
      </c>
      <c r="E23" s="14">
        <f t="shared" si="15"/>
        <v>439.4352769</v>
      </c>
      <c r="F23" s="14">
        <f t="shared" si="15"/>
        <v>533.9138614</v>
      </c>
    </row>
    <row r="24" hidden="1">
      <c r="A24" s="13" t="s">
        <v>23</v>
      </c>
      <c r="B24" s="5">
        <f>'Input data'!D$15</f>
        <v>145</v>
      </c>
      <c r="C24" s="14">
        <f t="shared" ref="C24:F24" si="16">B24*(1+C$2)</f>
        <v>176.175</v>
      </c>
      <c r="D24" s="14">
        <f t="shared" si="16"/>
        <v>214.052625</v>
      </c>
      <c r="E24" s="14">
        <f t="shared" si="16"/>
        <v>260.0739394</v>
      </c>
      <c r="F24" s="14">
        <f t="shared" si="16"/>
        <v>315.9898363</v>
      </c>
    </row>
    <row r="25" hidden="1">
      <c r="A25" s="15" t="s">
        <v>24</v>
      </c>
      <c r="B25" s="16">
        <f>MAX(0,(12*B$1) - MAX('Input data'!$C9, 12*(B$1-1) + 1) + 1) / 12</f>
        <v>0</v>
      </c>
      <c r="C25" s="16">
        <f>MAX(0,(12*C$1) - MAX('Input data'!$C9, 12*(C$1-1) + 1) + 1) / 12</f>
        <v>0</v>
      </c>
      <c r="D25" s="16">
        <f>MAX(0,(12*D$1) - MAX('Input data'!$C9, 12*(D$1-1) + 1) + 1) / 12</f>
        <v>1</v>
      </c>
      <c r="E25" s="16">
        <f>MAX(0,(12*E$1) - MAX('Input data'!$C9, 12*(E$1-1) + 1) + 1) / 12</f>
        <v>1</v>
      </c>
      <c r="F25" s="16">
        <f>MAX(0,(12*F$1) - MAX('Input data'!$C9, 12*(F$1-1) + 1) + 1) / 12</f>
        <v>1</v>
      </c>
    </row>
    <row r="26" hidden="1">
      <c r="A26" s="13" t="s">
        <v>25</v>
      </c>
      <c r="B26" s="5">
        <f>'Input data'!B$16</f>
        <v>4425</v>
      </c>
      <c r="C26" s="14">
        <f t="shared" ref="C26:F26" si="17">B26*(1+C$2)</f>
        <v>5376.375</v>
      </c>
      <c r="D26" s="14">
        <f t="shared" si="17"/>
        <v>6532.295625</v>
      </c>
      <c r="E26" s="14">
        <f t="shared" si="17"/>
        <v>7936.739184</v>
      </c>
      <c r="F26" s="14">
        <f t="shared" si="17"/>
        <v>9643.138109</v>
      </c>
    </row>
    <row r="27" hidden="1">
      <c r="A27" s="13" t="s">
        <v>26</v>
      </c>
      <c r="B27" s="5">
        <f>'Input data'!C$16</f>
        <v>2765</v>
      </c>
      <c r="C27" s="14">
        <f t="shared" ref="C27:F27" si="18">B27*(1+C$2)</f>
        <v>3359.475</v>
      </c>
      <c r="D27" s="14">
        <f t="shared" si="18"/>
        <v>4081.762125</v>
      </c>
      <c r="E27" s="14">
        <f t="shared" si="18"/>
        <v>4959.340982</v>
      </c>
      <c r="F27" s="14">
        <f t="shared" si="18"/>
        <v>6025.599293</v>
      </c>
    </row>
    <row r="28" hidden="1">
      <c r="A28" s="13" t="s">
        <v>27</v>
      </c>
      <c r="B28" s="5">
        <f>'Input data'!D$16</f>
        <v>1510</v>
      </c>
      <c r="C28" s="14">
        <f t="shared" ref="C28:F28" si="19">B28*(1+C$2)</f>
        <v>1834.65</v>
      </c>
      <c r="D28" s="14">
        <f t="shared" si="19"/>
        <v>2229.09975</v>
      </c>
      <c r="E28" s="14">
        <f t="shared" si="19"/>
        <v>2708.356196</v>
      </c>
      <c r="F28" s="14">
        <f t="shared" si="19"/>
        <v>3290.652778</v>
      </c>
    </row>
    <row r="29" hidden="1">
      <c r="A29" s="15" t="s">
        <v>28</v>
      </c>
      <c r="B29" s="16">
        <f>MAX(0,(12*B$1) - MAX('Input data'!$C10, 12*(B$1-1) + 1) + 1) / 12</f>
        <v>0</v>
      </c>
      <c r="C29" s="16">
        <f>MAX(0,(12*C$1) - MAX('Input data'!$C10, 12*(C$1-1) + 1) + 1) / 12</f>
        <v>0</v>
      </c>
      <c r="D29" s="16">
        <f>MAX(0,(12*D$1) - MAX('Input data'!$C10, 12*(D$1-1) + 1) + 1) / 12</f>
        <v>1</v>
      </c>
      <c r="E29" s="16">
        <f>MAX(0,(12*E$1) - MAX('Input data'!$C10, 12*(E$1-1) + 1) + 1) / 12</f>
        <v>1</v>
      </c>
      <c r="F29" s="16">
        <f>MAX(0,(12*F$1) - MAX('Input data'!$C10, 12*(F$1-1) + 1) + 1) / 12</f>
        <v>1</v>
      </c>
    </row>
    <row r="30" hidden="1">
      <c r="A30" s="13" t="s">
        <v>29</v>
      </c>
      <c r="B30" s="5">
        <f>'Input data'!B$17</f>
        <v>7420</v>
      </c>
      <c r="C30" s="14">
        <f t="shared" ref="C30:F30" si="20">B30*(1+C$2)</f>
        <v>9015.3</v>
      </c>
      <c r="D30" s="14">
        <f t="shared" si="20"/>
        <v>10953.5895</v>
      </c>
      <c r="E30" s="14">
        <f t="shared" si="20"/>
        <v>13308.61124</v>
      </c>
      <c r="F30" s="14">
        <f t="shared" si="20"/>
        <v>16169.96266</v>
      </c>
    </row>
    <row r="31" hidden="1">
      <c r="A31" s="13" t="s">
        <v>30</v>
      </c>
      <c r="B31" s="5">
        <f>'Input data'!C$17</f>
        <v>4630</v>
      </c>
      <c r="C31" s="14">
        <f t="shared" ref="C31:F31" si="21">B31*(1+C$2)</f>
        <v>5625.45</v>
      </c>
      <c r="D31" s="14">
        <f t="shared" si="21"/>
        <v>6834.92175</v>
      </c>
      <c r="E31" s="14">
        <f t="shared" si="21"/>
        <v>8304.429926</v>
      </c>
      <c r="F31" s="14">
        <f t="shared" si="21"/>
        <v>10089.88236</v>
      </c>
    </row>
    <row r="32" hidden="1">
      <c r="A32" s="13" t="s">
        <v>31</v>
      </c>
      <c r="B32" s="5">
        <f>'Input data'!D$17</f>
        <v>2850</v>
      </c>
      <c r="C32" s="14">
        <f t="shared" ref="C32:F32" si="22">B32*(1+C$2)</f>
        <v>3462.75</v>
      </c>
      <c r="D32" s="14">
        <f t="shared" si="22"/>
        <v>4207.24125</v>
      </c>
      <c r="E32" s="14">
        <f t="shared" si="22"/>
        <v>5111.798119</v>
      </c>
      <c r="F32" s="14">
        <f t="shared" si="22"/>
        <v>6210.834714</v>
      </c>
    </row>
    <row r="33" hidden="1">
      <c r="A33" s="15" t="s">
        <v>32</v>
      </c>
      <c r="B33" s="16">
        <f>MAX(0,(12*B$1) - MAX('Input data'!$C11, 12*(B$1-1) + 1) + 1) / 12</f>
        <v>0</v>
      </c>
      <c r="C33" s="16">
        <f>MAX(0,(12*C$1) - MAX('Input data'!$C11, 12*(C$1-1) + 1) + 1) / 12</f>
        <v>0</v>
      </c>
      <c r="D33" s="16">
        <f>MAX(0,(12*D$1) - MAX('Input data'!$C11, 12*(D$1-1) + 1) + 1) / 12</f>
        <v>0</v>
      </c>
      <c r="E33" s="16">
        <f>MAX(0,(12*E$1) - MAX('Input data'!$C11, 12*(E$1-1) + 1) + 1) / 12</f>
        <v>1</v>
      </c>
      <c r="F33" s="16">
        <f>MAX(0,(12*F$1) - MAX('Input data'!$C11, 12*(F$1-1) + 1) + 1) / 12</f>
        <v>1</v>
      </c>
    </row>
    <row r="34">
      <c r="A34" s="17" t="s">
        <v>33</v>
      </c>
      <c r="B34" s="18">
        <f>(Small_yearly_subscription*B15)+(Medium_yearly_subscription*B16)+(Large_yearly_subscription*B17)</f>
        <v>455600000</v>
      </c>
      <c r="C34" s="19">
        <f>(Small_yearly_subscription*C15)+(Medium_yearly_subscription*C16)+(Large_yearly_subscription*C17)</f>
        <v>553554000</v>
      </c>
      <c r="D34" s="19">
        <f>(Small_yearly_subscription*D15)+(Medium_yearly_subscription*D16)+(Large_yearly_subscription*D17)</f>
        <v>1159722360</v>
      </c>
      <c r="E34" s="19">
        <f>(Small_yearly_subscription*E15)+(Medium_yearly_subscription*E16)+(Large_yearly_subscription*E17)</f>
        <v>2366314126</v>
      </c>
      <c r="F34" s="18">
        <f>(Small_yearly_subscription*F15)+(Medium_yearly_subscription*F16)+(Large_yearly_subscription*F17)</f>
        <v>2875071663</v>
      </c>
    </row>
    <row r="35">
      <c r="A35" s="3" t="s">
        <v>34</v>
      </c>
      <c r="B35" s="20">
        <f t="shared" ref="B35:F35" si="23">B34/B10</f>
        <v>0.3453346472</v>
      </c>
      <c r="C35" s="20">
        <f t="shared" si="23"/>
        <v>0.3453346472</v>
      </c>
      <c r="D35" s="20">
        <f t="shared" si="23"/>
        <v>0.5954672933</v>
      </c>
      <c r="E35" s="20">
        <f t="shared" si="23"/>
        <v>1</v>
      </c>
      <c r="F35" s="20">
        <f t="shared" si="23"/>
        <v>1</v>
      </c>
    </row>
    <row r="36">
      <c r="A36" s="3"/>
      <c r="B36" s="12"/>
      <c r="C36" s="12"/>
      <c r="D36" s="12"/>
      <c r="E36" s="12"/>
      <c r="F36" s="12"/>
    </row>
    <row r="37">
      <c r="A37" s="3" t="s">
        <v>35</v>
      </c>
      <c r="B37" s="5">
        <f>'Input data'!B18</f>
        <v>7924992.114</v>
      </c>
      <c r="C37" s="5">
        <f>'Input data'!B19</f>
        <v>84628802.96</v>
      </c>
      <c r="D37" s="5">
        <f>'Input data'!B20</f>
        <v>441449137.1</v>
      </c>
      <c r="E37" s="5">
        <f>'Input data'!B21</f>
        <v>873046222.3</v>
      </c>
      <c r="F37" s="5">
        <f>'Input data'!B22</f>
        <v>1249684607</v>
      </c>
    </row>
    <row r="38">
      <c r="A38" s="17" t="s">
        <v>36</v>
      </c>
      <c r="B38" s="18">
        <f t="shared" ref="B38:F38" si="24">B37</f>
        <v>7924992.114</v>
      </c>
      <c r="C38" s="6">
        <f t="shared" si="24"/>
        <v>84628802.96</v>
      </c>
      <c r="D38" s="6">
        <f t="shared" si="24"/>
        <v>441449137.1</v>
      </c>
      <c r="E38" s="6">
        <f t="shared" si="24"/>
        <v>873046222.3</v>
      </c>
      <c r="F38" s="18">
        <f t="shared" si="24"/>
        <v>1249684607</v>
      </c>
    </row>
    <row r="39">
      <c r="A39" s="3" t="s">
        <v>37</v>
      </c>
      <c r="B39" s="21">
        <f t="shared" ref="B39:F39" si="25">B38/B34</f>
        <v>0.01739462712</v>
      </c>
      <c r="C39" s="21">
        <f t="shared" si="25"/>
        <v>0.1528826509</v>
      </c>
      <c r="D39" s="21">
        <f t="shared" si="25"/>
        <v>0.3806507077</v>
      </c>
      <c r="E39" s="21">
        <f t="shared" si="25"/>
        <v>0.3689477288</v>
      </c>
      <c r="F39" s="21">
        <f t="shared" si="25"/>
        <v>0.4346620725</v>
      </c>
    </row>
    <row r="40">
      <c r="A40" s="3" t="s">
        <v>38</v>
      </c>
      <c r="B40" s="21">
        <f t="shared" ref="B40:F40" si="26">B38/B10</f>
        <v>0.006006967418</v>
      </c>
      <c r="C40" s="21">
        <f t="shared" si="26"/>
        <v>0.05279567632</v>
      </c>
      <c r="D40" s="21">
        <f t="shared" si="26"/>
        <v>0.2266650466</v>
      </c>
      <c r="E40" s="21">
        <f t="shared" si="26"/>
        <v>0.3689477288</v>
      </c>
      <c r="F40" s="21">
        <f t="shared" si="26"/>
        <v>0.4346620725</v>
      </c>
    </row>
    <row r="41">
      <c r="A41" s="22"/>
    </row>
  </sheetData>
  <printOptions gridLines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4" width="25.63"/>
    <col customWidth="1" min="5" max="5" width="45.38"/>
    <col customWidth="1" min="6" max="6" width="27.88"/>
  </cols>
  <sheetData>
    <row r="1">
      <c r="A1" s="1" t="s">
        <v>39</v>
      </c>
      <c r="B1" s="1" t="s">
        <v>40</v>
      </c>
      <c r="D1" s="1"/>
      <c r="E1" s="1" t="s">
        <v>41</v>
      </c>
      <c r="F1" s="1" t="s">
        <v>42</v>
      </c>
    </row>
    <row r="2">
      <c r="A2" s="12" t="s">
        <v>43</v>
      </c>
      <c r="B2" s="9" t="s">
        <v>44</v>
      </c>
      <c r="C2" s="23"/>
      <c r="D2" s="24"/>
      <c r="E2" s="24"/>
      <c r="F2" s="24"/>
    </row>
    <row r="3">
      <c r="A3" s="12" t="s">
        <v>45</v>
      </c>
      <c r="B3" s="9">
        <f>IFERROR(__xludf.DUMMYFUNCTION("importrange(""https://docs.google.com/spreadsheets/d/1_Jk8MnezfCHs0fRnt14hOzmioutdmQbEiC11p-8uoBM"",""Business model!B3"")"),10000.0)</f>
        <v>10000</v>
      </c>
      <c r="C3" s="23"/>
      <c r="D3" s="12"/>
      <c r="E3" s="25" t="s">
        <v>46</v>
      </c>
      <c r="F3" s="26" t="s">
        <v>47</v>
      </c>
    </row>
    <row r="4">
      <c r="A4" s="12" t="s">
        <v>48</v>
      </c>
      <c r="B4" s="9">
        <f>IFERROR(__xludf.DUMMYFUNCTION("importrange(""https://docs.google.com/spreadsheets/d/1_Jk8MnezfCHs0fRnt14hOzmioutdmQbEiC11p-8uoBM"",""Business model!B5"")"),50000.0)</f>
        <v>50000</v>
      </c>
      <c r="C4" s="23"/>
      <c r="D4" s="12"/>
    </row>
    <row r="5">
      <c r="A5" s="12" t="s">
        <v>49</v>
      </c>
      <c r="B5" s="9">
        <f>IFERROR(__xludf.DUMMYFUNCTION("importrange(""https://docs.google.com/spreadsheets/d/1_Jk8MnezfCHs0fRnt14hOzmioutdmQbEiC11p-8uoBM"",""Business model!B7"")"),80000.0)</f>
        <v>80000</v>
      </c>
      <c r="C5" s="23"/>
      <c r="D5" s="12"/>
    </row>
    <row r="6">
      <c r="A6" s="12" t="s">
        <v>1</v>
      </c>
      <c r="B6" s="4">
        <v>0.215</v>
      </c>
      <c r="C6" s="4"/>
      <c r="D6" s="12"/>
      <c r="E6" s="12" t="s">
        <v>50</v>
      </c>
      <c r="F6" s="12"/>
    </row>
    <row r="7">
      <c r="A7" s="12"/>
      <c r="B7" s="27"/>
      <c r="C7" s="28" t="s">
        <v>51</v>
      </c>
      <c r="D7" s="12"/>
      <c r="E7" s="12"/>
      <c r="F7" s="12"/>
    </row>
    <row r="8">
      <c r="A8" s="12" t="s">
        <v>13</v>
      </c>
      <c r="B8" s="5" t="s">
        <v>52</v>
      </c>
      <c r="C8" s="5">
        <v>1.0</v>
      </c>
      <c r="D8" s="12"/>
      <c r="E8" s="12"/>
      <c r="F8" s="12"/>
    </row>
    <row r="9">
      <c r="A9" s="12" t="s">
        <v>53</v>
      </c>
      <c r="B9" s="5" t="s">
        <v>54</v>
      </c>
      <c r="C9" s="5">
        <v>25.0</v>
      </c>
      <c r="D9" s="12"/>
      <c r="E9" s="12"/>
      <c r="F9" s="12"/>
    </row>
    <row r="10">
      <c r="A10" s="12" t="s">
        <v>55</v>
      </c>
      <c r="B10" s="5" t="s">
        <v>56</v>
      </c>
      <c r="C10" s="5">
        <v>25.0</v>
      </c>
      <c r="D10" s="12"/>
      <c r="E10" s="12"/>
      <c r="F10" s="12"/>
    </row>
    <row r="11">
      <c r="A11" s="12" t="s">
        <v>57</v>
      </c>
      <c r="B11" s="5" t="s">
        <v>58</v>
      </c>
      <c r="C11" s="5">
        <v>37.0</v>
      </c>
      <c r="D11" s="12"/>
      <c r="E11" s="12" t="s">
        <v>59</v>
      </c>
      <c r="F11" s="12"/>
    </row>
    <row r="12">
      <c r="A12" s="12"/>
      <c r="B12" s="28"/>
      <c r="C12" s="29"/>
      <c r="D12" s="29"/>
      <c r="E12" s="12"/>
      <c r="F12" s="24"/>
    </row>
    <row r="13">
      <c r="A13" s="12"/>
      <c r="B13" s="28" t="s">
        <v>60</v>
      </c>
      <c r="C13" s="29" t="s">
        <v>61</v>
      </c>
      <c r="D13" s="29" t="s">
        <v>62</v>
      </c>
      <c r="E13" s="12"/>
      <c r="F13" s="24"/>
    </row>
    <row r="14">
      <c r="A14" s="12" t="s">
        <v>63</v>
      </c>
      <c r="B14" s="5">
        <f>(14800*0.6)+(400*0.05)</f>
        <v>8900</v>
      </c>
      <c r="C14" s="5">
        <f>(14800*0.3)+(400*0.35)</f>
        <v>4580</v>
      </c>
      <c r="D14" s="5">
        <f>(14800*0.1)+(400*0.6)</f>
        <v>1720</v>
      </c>
      <c r="E14" s="12" t="s">
        <v>64</v>
      </c>
      <c r="F14" s="24"/>
    </row>
    <row r="15">
      <c r="A15" s="12" t="s">
        <v>65</v>
      </c>
      <c r="B15" s="5">
        <f>(500*0.5)+(100*0.2)+(75*0.2)</f>
        <v>285</v>
      </c>
      <c r="C15" s="5">
        <f>(500*0.35)+(100*0.4)+(75*0.4)</f>
        <v>245</v>
      </c>
      <c r="D15" s="5">
        <f>(500*0.15)+(100*0.4)+(75*0.4)</f>
        <v>145</v>
      </c>
      <c r="E15" s="30" t="s">
        <v>66</v>
      </c>
      <c r="F15" s="24"/>
    </row>
    <row r="16">
      <c r="A16" s="12" t="s">
        <v>67</v>
      </c>
      <c r="B16" s="31">
        <f>(7000*0.6)+(1000*0.05)+(700*0.25)</f>
        <v>4425</v>
      </c>
      <c r="C16" s="31">
        <f>(7000*0.3)+(1000*0.35)+(700*0.45)</f>
        <v>2765</v>
      </c>
      <c r="D16" s="31">
        <f>(7000*0.1)+(1000*0.6)+(700*0.3)</f>
        <v>1510</v>
      </c>
      <c r="E16" s="32" t="s">
        <v>68</v>
      </c>
      <c r="F16" s="24"/>
    </row>
    <row r="17">
      <c r="A17" s="12" t="s">
        <v>69</v>
      </c>
      <c r="B17" s="5">
        <f>300+320+650+4000+1100+1050</f>
        <v>7420</v>
      </c>
      <c r="C17" s="12">
        <f>250+230+450+2500+700+500</f>
        <v>4630</v>
      </c>
      <c r="D17" s="12">
        <f>250+150+300+1500+400+250</f>
        <v>2850</v>
      </c>
      <c r="E17" s="12" t="s">
        <v>70</v>
      </c>
      <c r="F17" s="12"/>
    </row>
    <row r="18">
      <c r="A18" s="12" t="s">
        <v>71</v>
      </c>
      <c r="B18" s="9">
        <f>IFERROR(__xludf.DUMMYFUNCTION("importrange(""https://docs.google.com/spreadsheets/d/1_Jk8MnezfCHs0fRnt14hOzmioutdmQbEiC11p-8uoBM"",""Summary!C27"")"),7924992.114286357)</f>
        <v>7924992.114</v>
      </c>
      <c r="C18" s="9"/>
      <c r="D18" s="12"/>
      <c r="E18" s="25" t="s">
        <v>46</v>
      </c>
      <c r="F18" s="26" t="s">
        <v>47</v>
      </c>
    </row>
    <row r="19">
      <c r="A19" s="12" t="s">
        <v>72</v>
      </c>
      <c r="B19" s="9">
        <f>IFERROR(__xludf.DUMMYFUNCTION("importrange(""https://docs.google.com/spreadsheets/d/1_Jk8MnezfCHs0fRnt14hOzmioutdmQbEiC11p-8uoBM"",""Summary!D27"")"),8.462880295585136E7)</f>
        <v>84628802.96</v>
      </c>
      <c r="C19" s="9"/>
      <c r="D19" s="12"/>
    </row>
    <row r="20">
      <c r="A20" s="12" t="s">
        <v>73</v>
      </c>
      <c r="B20" s="9">
        <f>IFERROR(__xludf.DUMMYFUNCTION("importrange(""https://docs.google.com/spreadsheets/d/1_Jk8MnezfCHs0fRnt14hOzmioutdmQbEiC11p-8uoBM"",""Summary!E27"")"),4.414491371088814E8)</f>
        <v>441449137.1</v>
      </c>
      <c r="C20" s="9"/>
      <c r="D20" s="12"/>
    </row>
    <row r="21">
      <c r="A21" s="12" t="s">
        <v>74</v>
      </c>
      <c r="B21" s="9">
        <f>IFERROR(__xludf.DUMMYFUNCTION("importrange(""https://docs.google.com/spreadsheets/d/1_Jk8MnezfCHs0fRnt14hOzmioutdmQbEiC11p-8uoBM"",""Summary!F27"")"),8.730462223493335E8)</f>
        <v>873046222.3</v>
      </c>
      <c r="C21" s="9"/>
      <c r="D21" s="12"/>
    </row>
    <row r="22">
      <c r="A22" s="12" t="s">
        <v>75</v>
      </c>
      <c r="B22" s="9">
        <f>IFERROR(__xludf.DUMMYFUNCTION("importrange(""https://docs.google.com/spreadsheets/d/1_Jk8MnezfCHs0fRnt14hOzmioutdmQbEiC11p-8uoBM"",""Summary!G27"")"),1.2496846074975886E9)</f>
        <v>1249684607</v>
      </c>
      <c r="C22" s="9"/>
      <c r="D22" s="12"/>
    </row>
  </sheetData>
  <mergeCells count="5">
    <mergeCell ref="B1:C1"/>
    <mergeCell ref="E3:E5"/>
    <mergeCell ref="F3:F5"/>
    <mergeCell ref="E18:E22"/>
    <mergeCell ref="F18:F22"/>
  </mergeCells>
  <dataValidations>
    <dataValidation type="list" allowBlank="1" showErrorMessage="1" sqref="B2">
      <formula1>"USD ($),GBP (£),EUR (€)"</formula1>
    </dataValidation>
  </dataValidations>
  <hyperlinks>
    <hyperlink r:id="rId1" ref="F3"/>
    <hyperlink r:id="rId2" ref="F18"/>
  </hyperlinks>
  <drawing r:id="rId3"/>
</worksheet>
</file>