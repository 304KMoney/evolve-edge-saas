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721ad3458343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b7d72f0fc0524ac8"/>
    <x:sheet xmlns:r="http://schemas.openxmlformats.org/officeDocument/2006/relationships" name="Notification Catalog" sheetId="2" r:id="R3288a3a85ef9481a"/>
    <x:sheet xmlns:r="http://schemas.openxmlformats.org/officeDocument/2006/relationships" name="Summary" sheetId="3" r:id="R487121ac9862444e"/>
    <x:sheet xmlns:r="http://schemas.openxmlformats.org/officeDocument/2006/relationships" name="Message Templates" sheetId="4" r:id="R40f03b299d4a449e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Tailored catalog of Evolve Edge AI notifications, optimized for compliance workflows and product planning.</x:t>
        </x:r>
      </x:text>
    </x:comment>
    <x:comment ref="R1" authorId="0">
      <x:text>
        <x:r>
          <x:t>AI Score formula = Impact*2 + Urgency*2 + Confidence. Used to validate the manual priority assignment.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family val="2"/>
      <x:scheme val="minor"/>
    </x:font>
    <x:font>
      <x:b/>
      <x:color rgb="00FFFFFF"/>
    </x:font>
    <x:font>
      <x:color rgb="000000FF"/>
    </x:font>
    <x:font>
      <x:color rgb="00000000"/>
    </x:font>
    <x:font>
      <x:b/>
      <x:sz val="16"/>
      <x:color rgb="00FFFFFF"/>
    </x:font>
    <x:font>
      <x:b/>
      <x:color rgb="001F1F1F"/>
    </x:font>
    <x:font>
      <x:b/>
      <x:sz val="15"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8"/>
      </x:patternFill>
    </x:fill>
  </x:fills>
  <x:borders count="2">
    <x:border>
      <x:left/>
      <x:right/>
      <x:top/>
      <x:bottom/>
      <x:diagonal/>
    </x:border>
    <x:border>
      <x:bottom style="thin">
        <x:color rgb="00D9E2F3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4" fillId="2" borderId="0" xfId="0" applyAlignment="1">
      <x:alignment horizontal="left"/>
    </x:xf>
    <x:xf numFmtId="0" fontId="5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1" fillId="2" borderId="1" xfId="0" applyAlignment="1">
      <x:alignment horizontal="center" vertical="center" wrapText="1"/>
    </x:xf>
    <x:xf numFmtId="0" fontId="2" fillId="0" borderId="0" xfId="0" applyAlignment="1">
      <x:alignment horizontal="center" vertical="top"/>
    </x:xf>
    <x:xf numFmtId="1" fontId="3" fillId="0" borderId="0" xfId="0" applyAlignment="1">
      <x:alignment horizontal="center" vertical="top"/>
    </x:xf>
    <x:xf numFmtId="0" fontId="3" fillId="0" borderId="0" xfId="0" applyAlignment="1">
      <x:alignment horizontal="center" vertical="top"/>
    </x:xf>
    <x:xf numFmtId="0" fontId="6" fillId="2" borderId="0" xfId="0"/>
    <x:xf numFmtId="0" fontId="1" fillId="2" borderId="0" xfId="0" applyAlignment="1">
      <x:alignment vertical="top" wrapText="1"/>
    </x:xf>
    <x:xf numFmtId="0" fontId="1" fillId="2" borderId="0" xfId="0" applyAlignment="1">
      <x:alignment horizontal="center" vertical="center" wrapText="1"/>
    </x:xf>
  </x:cellXfs>
  <x:cellStyles count="1">
    <x:cellStyle name="Normal" xfId="0"/>
  </x:cellStyles>
  <x:dxfs count="6">
    <x:dxf>
      <x:fill>
        <x:patternFill>
          <x:bgColor rgb="00FFC7CE"/>
        </x:patternFill>
      </x:fill>
    </x:dxf>
    <x:dxf>
      <x:fill>
        <x:patternFill>
          <x:bgColor rgb="00FCE4D6"/>
        </x:patternFill>
      </x:fill>
    </x:dxf>
    <x:dxf>
      <x:fill>
        <x:patternFill>
          <x:bgColor rgb="00FFF2CC"/>
        </x:patternFill>
      </x:fill>
    </x:dxf>
    <x:dxf>
      <x:fill>
        <x:patternFill>
          <x:bgColor rgb="00E2F0D9"/>
        </x:patternFill>
      </x:fill>
    </x:dxf>
    <x:dxf>
      <x:fill>
        <x:patternFill>
          <x:bgColor rgb="00F4CCCC"/>
        </x:patternFill>
      </x:fill>
    </x:dxf>
    <x:dxf>
      <x:fill>
        <x:patternFill>
          <x:bgColor rgb="00D9EAD3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e3fdfdeab64150" /><Relationship Type="http://schemas.openxmlformats.org/officeDocument/2006/relationships/theme" Target="/xl/theme/theme1.xml" Id="Raf1f82a3fec04695" /><Relationship Type="http://schemas.openxmlformats.org/officeDocument/2006/relationships/sharedStrings" Target="/xl/sharedStrings.xml" Id="R8a2b31671074431d" /><Relationship Type="http://schemas.openxmlformats.org/officeDocument/2006/relationships/worksheet" Target="/xl/worksheets/sheet1.xml" Id="Rb7d72f0fc0524ac8" /><Relationship Type="http://schemas.openxmlformats.org/officeDocument/2006/relationships/worksheet" Target="/xl/worksheets/sheet2.xml" Id="R3288a3a85ef9481a" /><Relationship Type="http://schemas.openxmlformats.org/officeDocument/2006/relationships/worksheet" Target="/xl/worksheets/sheet3.xml" Id="R487121ac9862444e" /><Relationship Type="http://schemas.openxmlformats.org/officeDocument/2006/relationships/worksheet" Target="/xl/worksheets/sheet4.xml" Id="R40f03b299d4a449e" /><Relationship Type="http://schemas.microsoft.com/office/2017/10/relationships/person" Target="/xl/persons/person.xml" Id="R4dd1991bec9d4250" /></Relationships>
</file>

<file path=xl/persons/person.xml><?xml version="1.0" encoding="utf-8"?>
<xltc:personList xmlns:xltc="http://schemas.microsoft.com/office/spreadsheetml/2018/threadedcomments">
  <xltc:person displayName="OpenAI" id="{57BFF57A-56C5-4F2F-B3B4-980E8586CC8E}"/>
</xltc:personList>
</file>

<file path=xl/tables/table1.xml><?xml version="1.0" encoding="utf-8"?>
<x:table xmlns:x="http://schemas.openxmlformats.org/spreadsheetml/2006/main" id="1" name="NotificationCatalog" displayName="NotificationCatalog" ref="A1:Z19" headerRowCount="1">
  <x:autoFilter ref="A1:W19"/>
  <x:tableColumns count="23">
    <x:tableColumn id="1" name="Notification ID"/>
    <x:tableColumn id="2" name="Category"/>
    <x:tableColumn id="3" name="Notification Name"/>
    <x:tableColumn id="4" name="Journey Stage"/>
    <x:tableColumn id="5" name="Audience"/>
    <x:tableColumn id="6" name="Channel"/>
    <x:tableColumn id="7" name="Event Trigger"/>
    <x:tableColumn id="8" name="AI Behavior"/>
    <x:tableColumn id="9" name="Smart Conditions"/>
    <x:tableColumn id="10" name="CTA"/>
    <x:tableColumn id="11" name="Example Title"/>
    <x:tableColumn id="12" name="Example Body"/>
    <x:tableColumn id="13" name="Frequency"/>
    <x:tableColumn id="14" name="Manual Priority"/>
    <x:tableColumn id="15" name="Impact"/>
    <x:tableColumn id="16" name="Urgency"/>
    <x:tableColumn id="17" name="Confidence"/>
    <x:tableColumn id="18" name="AI Score"/>
    <x:tableColumn id="19" name="Suggested Band"/>
    <x:tableColumn id="20" name="Band Match?"/>
    <x:tableColumn id="21" name="Target SLA (hrs)"/>
    <x:tableColumn id="22" name="Owner"/>
    <x:tableColumn id="23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MessageTemplates" displayName="MessageTemplates" ref="A1:I8" headerRowCount="1">
  <x:autoFilter ref="A1:I8"/>
  <x:tableColumns count="9">
    <x:tableColumn id="1" name="Template ID"/>
    <x:tableColumn id="2" name="Notification Category"/>
    <x:tableColumn id="3" name="Channel"/>
    <x:tableColumn id="4" name="Tone"/>
    <x:tableColumn id="5" name="Subject / Title"/>
    <x:tableColumn id="6" name="Body"/>
    <x:tableColumn id="7" name="Default CTA"/>
    <x:tableColumn id="8" name="Personalization Tokens"/>
    <x:tableColumn id="9" name="Usage Notes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84d7d41abd144b00" /><Relationship Type="http://schemas.openxmlformats.org/officeDocument/2006/relationships/vmlDrawing" Target="/xl/drawings/vmldrawing.vml" Id="R67e8f44a51424f05" /><Relationship Type="http://schemas.openxmlformats.org/officeDocument/2006/relationships/table" Target="/xl/tables/table1.xml" Id="R07ca1f585f0e45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723a18b0a2a4e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110" customWidth="1"/>
  </x:cols>
  <x:sheetData>
    <x:row r="1">
      <x:c r="A1" s="1" t="inlineStr">
        <x:is>
          <x:t xml:space="preserve">Evolve Edge AI Notifications</x:t>
        </x:is>
      </x:c>
    </x:row>
    <x:row r="3" ht="40" customHeight="1">
      <x:c r="A3" s="2" t="inlineStr">
        <x:is>
          <x:t xml:space="preserve">Purpose</x:t>
        </x:is>
      </x:c>
      <x:c r="B3" s="3" t="inlineStr">
        <x:is>
          <x:t xml:space="preserve">This workbook defines tailored AI-powered notifications for Evolve Edge across analysis, risk, evidence, remediation, reporting, and auditor workflows.</x:t>
        </x:is>
      </x:c>
    </x:row>
    <x:row r="4" ht="40" customHeight="1">
      <x:c r="A4" s="2" t="inlineStr">
        <x:is>
          <x:t xml:space="preserve">How to use</x:t>
        </x:is>
      </x:c>
      <x:c r="B4" s="3" t="inlineStr">
        <x:is>
          <x:t xml:space="preserve">Use the Notification Catalog tab as the source of truth for PM, design, engineering, and compliance operations.</x:t>
        </x:is>
      </x:c>
    </x:row>
    <x:row r="5" ht="40" customHeight="1">
      <x:c r="A5" s="2" t="inlineStr">
        <x:is>
          <x:t xml:space="preserve">Scoring model</x:t>
        </x:is>
      </x:c>
      <x:c r="B5" s="3" t="inlineStr">
        <x:is>
          <x:t xml:space="preserve">Impact and Urgency are weighted 2x; Confidence is weighted 1x. Suggested Band is formula-driven and flags rows that may need manual review.</x:t>
        </x:is>
      </x:c>
    </x:row>
    <x:row r="6" ht="40" customHeight="1">
      <x:c r="A6" s="2" t="inlineStr">
        <x:is>
          <x:t xml:space="preserve">MVP guidance</x:t>
        </x:is>
      </x:c>
      <x:c r="B6" s="3" t="inlineStr">
        <x:is>
          <x:t xml:space="preserve">Rows marked MVP are suitable for the first release. Future rows can be deferred until framework updates, Slack, or vendor workflows are implemented.</x:t>
        </x:is>
      </x:c>
    </x:row>
    <x:row r="7" ht="40" customHeight="1">
      <x:c r="A7" s="2" t="inlineStr">
        <x:is>
          <x:t xml:space="preserve">Channel note</x:t>
        </x:is>
      </x:c>
      <x:c r="B7" s="3" t="inlineStr">
        <x:is>
          <x:t xml:space="preserve">In-app notifications should be default. Email should be used for high-signal or time-sensitive alerts. Slack is marked future where appropriate.</x:t>
        </x:is>
      </x:c>
    </x:row>
    <x:row r="8" ht="40" customHeight="1">
      <x:c r="A8" s="2" t="inlineStr">
        <x:is>
          <x:t xml:space="preserve">Suppression principle</x:t>
        </x:is>
      </x:c>
      <x:c r="B8" s="3" t="inlineStr">
        <x:is>
          <x:t xml:space="preserve">Avoid spam by suppressing duplicate alerts, batching related findings, and suppressing notifications when the user is already in context.</x:t>
        </x:is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7" customWidth="1"/>
    <x:col min="3" max="3" width="28" customWidth="1"/>
    <x:col min="4" max="4" width="24" customWidth="1"/>
    <x:col min="5" max="5" width="24" customWidth="1"/>
    <x:col min="6" max="6" width="22" customWidth="1"/>
    <x:col min="7" max="7" width="42" customWidth="1"/>
    <x:col min="8" max="8" width="42" customWidth="1"/>
    <x:col min="9" max="9" width="38" customWidth="1"/>
    <x:col min="10" max="10" width="18" customWidth="1"/>
    <x:col min="11" max="11" width="32" customWidth="1"/>
    <x:col min="12" max="12" width="46" customWidth="1"/>
    <x:col min="13" max="13" width="18" customWidth="1"/>
    <x:col min="14" max="14" width="14" customWidth="1"/>
    <x:col min="15" max="15" width="9" customWidth="1"/>
    <x:col min="16" max="16" width="9" customWidth="1"/>
    <x:col min="17" max="17" width="11" customWidth="1"/>
    <x:col min="18" max="18" width="10" customWidth="1"/>
    <x:col min="19" max="19" width="15" customWidth="1"/>
    <x:col min="20" max="20" width="12" customWidth="1"/>
    <x:col min="21" max="21" width="14" customWidth="1"/>
    <x:col min="22" max="22" width="21" customWidth="1"/>
    <x:col min="23" max="23" width="12" customWidth="1"/>
    <x:col min="24" max="24" width="12" customWidth="1"/>
    <x:col min="25" max="25" width="12" customWidth="1"/>
    <x:col min="26" max="26" width="12" customWidth="1"/>
  </x:cols>
  <x:sheetData>
    <x:row r="1">
      <x:c r="A1" s="4" t="inlineStr">
        <x:is>
          <x:t xml:space="preserve">Notification ID</x:t>
        </x:is>
      </x:c>
      <x:c r="B1" s="4" t="inlineStr">
        <x:is>
          <x:t xml:space="preserve">Category</x:t>
        </x:is>
      </x:c>
      <x:c r="C1" s="4" t="inlineStr">
        <x:is>
          <x:t xml:space="preserve">Notification Name</x:t>
        </x:is>
      </x:c>
      <x:c r="D1" s="4" t="inlineStr">
        <x:is>
          <x:t xml:space="preserve">Journey Stage</x:t>
        </x:is>
      </x:c>
      <x:c r="E1" s="4" t="inlineStr">
        <x:is>
          <x:t xml:space="preserve">Audience</x:t>
        </x:is>
      </x:c>
      <x:c r="F1" s="4" t="inlineStr">
        <x:is>
          <x:t xml:space="preserve">Channel</x:t>
        </x:is>
      </x:c>
      <x:c r="G1" s="4" t="inlineStr">
        <x:is>
          <x:t xml:space="preserve">Event Trigger</x:t>
        </x:is>
      </x:c>
      <x:c r="H1" s="4" t="inlineStr">
        <x:is>
          <x:t xml:space="preserve">AI Behavior</x:t>
        </x:is>
      </x:c>
      <x:c r="I1" s="4" t="inlineStr">
        <x:is>
          <x:t xml:space="preserve">Smart Conditions</x:t>
        </x:is>
      </x:c>
      <x:c r="J1" s="4" t="inlineStr">
        <x:is>
          <x:t xml:space="preserve">CTA</x:t>
        </x:is>
      </x:c>
      <x:c r="K1" s="4" t="inlineStr">
        <x:is>
          <x:t xml:space="preserve">Example Title</x:t>
        </x:is>
      </x:c>
      <x:c r="L1" s="4" t="inlineStr">
        <x:is>
          <x:t xml:space="preserve">Example Body</x:t>
        </x:is>
      </x:c>
      <x:c r="M1" s="4" t="inlineStr">
        <x:is>
          <x:t xml:space="preserve">Frequency</x:t>
        </x:is>
      </x:c>
      <x:c r="N1" s="4" t="inlineStr">
        <x:is>
          <x:t xml:space="preserve">Manual Priority</x:t>
        </x:is>
      </x:c>
      <x:c r="O1" s="4" t="inlineStr">
        <x:is>
          <x:t xml:space="preserve">Impact</x:t>
        </x:is>
      </x:c>
      <x:c r="P1" s="4" t="inlineStr">
        <x:is>
          <x:t xml:space="preserve">Urgency</x:t>
        </x:is>
      </x:c>
      <x:c r="Q1" s="4" t="inlineStr">
        <x:is>
          <x:t xml:space="preserve">Confidence</x:t>
        </x:is>
      </x:c>
      <x:c r="R1" s="4" t="inlineStr">
        <x:is>
          <x:t xml:space="preserve">AI Score</x:t>
        </x:is>
      </x:c>
      <x:c r="S1" s="4" t="inlineStr">
        <x:is>
          <x:t xml:space="preserve">Suggested Band</x:t>
        </x:is>
      </x:c>
      <x:c r="T1" s="4" t="inlineStr">
        <x:is>
          <x:t xml:space="preserve">Band Match?</x:t>
        </x:is>
      </x:c>
      <x:c r="U1" s="4" t="inlineStr">
        <x:is>
          <x:t xml:space="preserve">Target SLA (hrs)</x:t>
        </x:is>
      </x:c>
      <x:c r="V1" s="4" t="inlineStr">
        <x:is>
          <x:t xml:space="preserve">Owner</x:t>
        </x:is>
      </x:c>
      <x:c r="W1" s="4" t="inlineStr">
        <x:is>
          <x:t xml:space="preserve">Status</x:t>
        </x:is>
      </x:c>
      <x:c r="X1" s="10" t="inlineStr">
        <x:is>
          <x:t xml:space="preserve">In-app Flag</x:t>
        </x:is>
      </x:c>
      <x:c r="Y1" s="10" t="inlineStr">
        <x:is>
          <x:t xml:space="preserve">Email Flag</x:t>
        </x:is>
      </x:c>
      <x:c r="Z1" s="10" t="inlineStr">
        <x:is>
          <x:t xml:space="preserve">Slack Flag</x:t>
        </x:is>
      </x:c>
    </x:row>
    <x:row r="2" ht="72" customHeight="1">
      <x:c r="A2" s="3" t="inlineStr">
        <x:is>
          <x:t xml:space="preserve">AI-001</x:t>
        </x:is>
      </x:c>
      <x:c r="B2" s="3" t="inlineStr">
        <x:is>
          <x:t xml:space="preserve">Analysis</x:t>
        </x:is>
      </x:c>
      <x:c r="C2" s="3" t="inlineStr">
        <x:is>
          <x:t xml:space="preserve">Compliance analysis complete</x:t>
        </x:is>
      </x:c>
      <x:c r="D2" s="3" t="inlineStr">
        <x:is>
          <x:t xml:space="preserve">Document Upload → AI Analysis</x:t>
        </x:is>
      </x:c>
      <x:c r="E2" s="3" t="inlineStr">
        <x:is>
          <x:t xml:space="preserve">Owner, Admin, Analyst</x:t>
        </x:is>
      </x:c>
      <x:c r="F2" s="3" t="inlineStr">
        <x:is>
          <x:t xml:space="preserve">In-app, Email</x:t>
        </x:is>
      </x:c>
      <x:c r="G2" s="3" t="inlineStr">
        <x:is>
          <x:t xml:space="preserve">A document or document bundle finishes AI compliance analysis successfully.</x:t>
        </x:is>
      </x:c>
      <x:c r="H2" s="3" t="inlineStr">
        <x:is>
          <x:t xml:space="preserve">Summarize top findings, affected frameworks, score change, and next best actions.</x:t>
        </x:is>
      </x:c>
      <x:c r="I2" s="3" t="inlineStr">
        <x:is>
          <x:t xml:space="preserve">Suppress if the user is actively viewing the completed job within 5 minutes.</x:t>
        </x:is>
      </x:c>
      <x:c r="J2" s="3" t="inlineStr">
        <x:is>
          <x:t xml:space="preserve">Review findings</x:t>
        </x:is>
      </x:c>
      <x:c r="K2" s="3" t="inlineStr">
        <x:is>
          <x:t xml:space="preserve">AI review finished: 5 findings across PCI DSS</x:t>
        </x:is>
      </x:c>
      <x:c r="L2" s="3" t="inlineStr">
        <x:is>
          <x:t xml:space="preserve">Your uploaded evidence was analyzed. 2 high-risk gaps and 3 medium-risk gaps were found. Recommended next step: review missing access-control evidence.</x:t>
        </x:is>
      </x:c>
      <x:c r="M2" s="3" t="inlineStr">
        <x:is>
          <x:t xml:space="preserve">Per job</x:t>
        </x:is>
      </x:c>
      <x:c r="N2" s="3" t="inlineStr">
        <x:is>
          <x:t xml:space="preserve">Medium</x:t>
        </x:is>
      </x:c>
      <x:c r="O2" s="5" t="n">
        <x:v>3</x:v>
      </x:c>
      <x:c r="P2" s="5" t="n">
        <x:v>3</x:v>
      </x:c>
      <x:c r="Q2" s="5" t="n">
        <x:v>5</x:v>
      </x:c>
      <x:c r="R2" s="6">
        <x:f>O2*2+P2*2+Q2</x:f>
        <x:v>17</x:v>
      </x:c>
      <x:c r="S2" s="7" t="str">
        <x:f>IF(R2&gt;=22,"Critical",IF(R2&gt;=18,"High",IF(R2&gt;=12,"Medium","Low")))</x:f>
        <x:v>Medium</x:v>
      </x:c>
      <x:c r="T2" s="7" t="str">
        <x:f>IF(N2=S2,"Yes","Review")</x:f>
        <x:v>Yes</x:v>
      </x:c>
      <x:c r="U2" s="6">
        <x:f>IF(S2="Critical",4,IF(S2="High",24,IF(S2="Medium",72,168)))</x:f>
        <x:v>72</x:v>
      </x:c>
      <x:c r="V2" s="3" t="inlineStr">
        <x:is>
          <x:t xml:space="preserve">Product + Compliance Ops</x:t>
        </x:is>
      </x:c>
      <x:c r="W2" s="3" t="inlineStr">
        <x:is>
          <x:t xml:space="preserve">MVP</x:t>
        </x:is>
      </x:c>
      <x:c r="X2" s="7">
        <x:f>IF(ISNUMBER(SEARCH("In-app",F2)),1,0)</x:f>
        <x:v>1</x:v>
      </x:c>
      <x:c r="Y2" s="7">
        <x:f>IF(ISNUMBER(SEARCH("Email",F2)),1,0)</x:f>
        <x:v>1</x:v>
      </x:c>
      <x:c r="Z2" s="7">
        <x:f>IF(ISNUMBER(SEARCH("Slack",F2)),1,0)</x:f>
        <x:v>0</x:v>
      </x:c>
    </x:row>
    <x:row r="3" ht="72" customHeight="1">
      <x:c r="A3" s="3" t="inlineStr">
        <x:is>
          <x:t xml:space="preserve">AI-002</x:t>
        </x:is>
      </x:c>
      <x:c r="B3" s="3" t="inlineStr">
        <x:is>
          <x:t xml:space="preserve">Analysis</x:t>
        </x:is>
      </x:c>
      <x:c r="C3" s="3" t="inlineStr">
        <x:is>
          <x:t xml:space="preserve">Compliance analysis failed</x:t>
        </x:is>
      </x:c>
      <x:c r="D3" s="3" t="inlineStr">
        <x:is>
          <x:t xml:space="preserve">Document Upload → AI Analysis</x:t>
        </x:is>
      </x:c>
      <x:c r="E3" s="3" t="inlineStr">
        <x:is>
          <x:t xml:space="preserve">Owner, Admin, Analyst</x:t>
        </x:is>
      </x:c>
      <x:c r="F3" s="3" t="inlineStr">
        <x:is>
          <x:t xml:space="preserve">In-app, Email</x:t>
        </x:is>
      </x:c>
      <x:c r="G3" s="3" t="inlineStr">
        <x:is>
          <x:t xml:space="preserve">AI parsing or control-mapping fails for an uploaded file.</x:t>
        </x:is>
      </x:c>
      <x:c r="H3" s="3" t="inlineStr">
        <x:is>
          <x:t xml:space="preserve">Explain likely failure reason, identify file, and suggest the fastest recovery path.</x:t>
        </x:is>
      </x:c>
      <x:c r="I3" s="3" t="inlineStr">
        <x:is>
          <x:t xml:space="preserve">Suppress duplicate failures for the same file version within 1 hour.</x:t>
        </x:is>
      </x:c>
      <x:c r="J3" s="3" t="inlineStr">
        <x:is>
          <x:t xml:space="preserve">Retry analysis</x:t>
        </x:is>
      </x:c>
      <x:c r="K3" s="3" t="inlineStr">
        <x:is>
          <x:t xml:space="preserve">Analysis failed for Security Policy.pdf</x:t>
        </x:is>
      </x:c>
      <x:c r="L3" s="3" t="inlineStr">
        <x:is>
          <x:t xml:space="preserve">We could not map enough text to compliance controls. Try re-uploading a searchable PDF or categorize the file before re-running analysis.</x:t>
        </x:is>
      </x:c>
      <x:c r="M3" s="3" t="inlineStr">
        <x:is>
          <x:t xml:space="preserve">Per failed job</x:t>
        </x:is>
      </x:c>
      <x:c r="N3" s="3" t="inlineStr">
        <x:is>
          <x:t xml:space="preserve">High</x:t>
        </x:is>
      </x:c>
      <x:c r="O3" s="5" t="n">
        <x:v>4</x:v>
      </x:c>
      <x:c r="P3" s="5" t="n">
        <x:v>4</x:v>
      </x:c>
      <x:c r="Q3" s="5" t="n">
        <x:v>5</x:v>
      </x:c>
      <x:c r="R3" s="6">
        <x:f>O3*2+P3*2+Q3</x:f>
        <x:v>21</x:v>
      </x:c>
      <x:c r="S3" s="7" t="str">
        <x:f>IF(R3&gt;=22,"Critical",IF(R3&gt;=18,"High",IF(R3&gt;=12,"Medium","Low")))</x:f>
        <x:v>High</x:v>
      </x:c>
      <x:c r="T3" s="7" t="str">
        <x:f>IF(N3=S3,"Yes","Review")</x:f>
        <x:v>Yes</x:v>
      </x:c>
      <x:c r="U3" s="6">
        <x:f>IF(S3="Critical",4,IF(S3="High",24,IF(S3="Medium",72,168)))</x:f>
        <x:v>24</x:v>
      </x:c>
      <x:c r="V3" s="3" t="inlineStr">
        <x:is>
          <x:t xml:space="preserve">Product + ML</x:t>
        </x:is>
      </x:c>
      <x:c r="W3" s="3" t="inlineStr">
        <x:is>
          <x:t xml:space="preserve">MVP</x:t>
        </x:is>
      </x:c>
      <x:c r="X3" s="7">
        <x:f>IF(ISNUMBER(SEARCH("In-app",F3)),1,0)</x:f>
        <x:v>1</x:v>
      </x:c>
      <x:c r="Y3" s="7">
        <x:f>IF(ISNUMBER(SEARCH("Email",F3)),1,0)</x:f>
        <x:v>1</x:v>
      </x:c>
      <x:c r="Z3" s="7">
        <x:f>IF(ISNUMBER(SEARCH("Slack",F3)),1,0)</x:f>
        <x:v>0</x:v>
      </x:c>
    </x:row>
    <x:row r="4" ht="72" customHeight="1">
      <x:c r="A4" s="3" t="inlineStr">
        <x:is>
          <x:t xml:space="preserve">AI-003</x:t>
        </x:is>
      </x:c>
      <x:c r="B4" s="3" t="inlineStr">
        <x:is>
          <x:t xml:space="preserve">Risk</x:t>
        </x:is>
      </x:c>
      <x:c r="C4" s="3" t="inlineStr">
        <x:is>
          <x:t xml:space="preserve">Critical finding detected</x:t>
        </x:is>
      </x:c>
      <x:c r="D4" s="3" t="inlineStr">
        <x:is>
          <x:t xml:space="preserve">AI Analysis → Risk Review</x:t>
        </x:is>
      </x:c>
      <x:c r="E4" s="3" t="inlineStr">
        <x:is>
          <x:t xml:space="preserve">Owner, Admin</x:t>
        </x:is>
      </x:c>
      <x:c r="F4" s="3" t="inlineStr">
        <x:is>
          <x:t xml:space="preserve">In-app, Email, Slack (future)</x:t>
        </x:is>
      </x:c>
      <x:c r="G4" s="3" t="inlineStr">
        <x:is>
          <x:t xml:space="preserve">A new critical-severity finding is created by AI or escalated from analyst review.</x:t>
        </x:is>
      </x:c>
      <x:c r="H4" s="3" t="inlineStr">
        <x:is>
          <x:t xml:space="preserve">Highlight the control, why it matters, probable business risk, and the top remediation step.</x:t>
        </x:is>
      </x:c>
      <x:c r="I4" s="3" t="inlineStr">
        <x:is>
          <x:t xml:space="preserve">Never suppress for owners; batch only if more than 3 critical findings are generated in one analysis run.</x:t>
        </x:is>
      </x:c>
      <x:c r="J4" s="3" t="inlineStr">
        <x:is>
          <x:t xml:space="preserve">Open critical finding</x:t>
        </x:is>
      </x:c>
      <x:c r="K4" s="3" t="inlineStr">
        <x:is>
          <x:t xml:space="preserve">Critical gap: Cardholder data retention controls missing</x:t>
        </x:is>
      </x:c>
      <x:c r="L4" s="3" t="inlineStr">
        <x:is>
          <x:t xml:space="preserve">AI flagged a critical PCI DSS issue with no supporting retention-control evidence. Assign an owner and upload supporting policy or remediation proof.</x:t>
        </x:is>
      </x:c>
      <x:c r="M4" s="3" t="inlineStr">
        <x:is>
          <x:t xml:space="preserve">Immediate</x:t>
        </x:is>
      </x:c>
      <x:c r="N4" s="3" t="inlineStr">
        <x:is>
          <x:t xml:space="preserve">Critical</x:t>
        </x:is>
      </x:c>
      <x:c r="O4" s="5" t="n">
        <x:v>5</x:v>
      </x:c>
      <x:c r="P4" s="5" t="n">
        <x:v>5</x:v>
      </x:c>
      <x:c r="Q4" s="5" t="n">
        <x:v>4</x:v>
      </x:c>
      <x:c r="R4" s="6">
        <x:f>O4*2+P4*2+Q4</x:f>
        <x:v>24</x:v>
      </x:c>
      <x:c r="S4" s="7" t="str">
        <x:f>IF(R4&gt;=22,"Critical",IF(R4&gt;=18,"High",IF(R4&gt;=12,"Medium","Low")))</x:f>
        <x:v>Critical</x:v>
      </x:c>
      <x:c r="T4" s="7" t="str">
        <x:f>IF(N4=S4,"Yes","Review")</x:f>
        <x:v>Yes</x:v>
      </x:c>
      <x:c r="U4" s="6">
        <x:f>IF(S4="Critical",4,IF(S4="High",24,IF(S4="Medium",72,168)))</x:f>
        <x:v>4</x:v>
      </x:c>
      <x:c r="V4" s="3" t="inlineStr">
        <x:is>
          <x:t xml:space="preserve">Compliance Ops</x:t>
        </x:is>
      </x:c>
      <x:c r="W4" s="3" t="inlineStr">
        <x:is>
          <x:t xml:space="preserve">MVP</x:t>
        </x:is>
      </x:c>
      <x:c r="X4" s="7">
        <x:f>IF(ISNUMBER(SEARCH("In-app",F4)),1,0)</x:f>
        <x:v>1</x:v>
      </x:c>
      <x:c r="Y4" s="7">
        <x:f>IF(ISNUMBER(SEARCH("Email",F4)),1,0)</x:f>
        <x:v>1</x:v>
      </x:c>
      <x:c r="Z4" s="7">
        <x:f>IF(ISNUMBER(SEARCH("Slack",F4)),1,0)</x:f>
        <x:v>1</x:v>
      </x:c>
    </x:row>
    <x:row r="5" ht="72" customHeight="1">
      <x:c r="A5" s="3" t="inlineStr">
        <x:is>
          <x:t xml:space="preserve">AI-004</x:t>
        </x:is>
      </x:c>
      <x:c r="B5" s="3" t="inlineStr">
        <x:is>
          <x:t xml:space="preserve">Risk</x:t>
        </x:is>
      </x:c>
      <x:c r="C5" s="3" t="inlineStr">
        <x:is>
          <x:t xml:space="preserve">High-risk finding cluster detected</x:t>
        </x:is>
      </x:c>
      <x:c r="D5" s="3" t="inlineStr">
        <x:is>
          <x:t xml:space="preserve">AI Analysis → Risk Review</x:t>
        </x:is>
      </x:c>
      <x:c r="E5" s="3" t="inlineStr">
        <x:is>
          <x:t xml:space="preserve">Owner, Admin, Analyst</x:t>
        </x:is>
      </x:c>
      <x:c r="F5" s="3" t="inlineStr">
        <x:is>
          <x:t xml:space="preserve">In-app, Email</x:t>
        </x:is>
      </x:c>
      <x:c r="G5" s="3" t="inlineStr">
        <x:is>
          <x:t xml:space="preserve">3 or more high-severity findings are created in one analysis job or in the same framework within 24 hours.</x:t>
        </x:is>
      </x:c>
      <x:c r="H5" s="3" t="inlineStr">
        <x:is>
          <x:t xml:space="preserve">Group related findings into a single narrative and recommend a bundled remediation path.</x:t>
        </x:is>
      </x:c>
      <x:c r="I5" s="3" t="inlineStr">
        <x:is>
          <x:t xml:space="preserve">Suppress if a critical finding notification already covers the same cluster.</x:t>
        </x:is>
      </x:c>
      <x:c r="J5" s="3" t="inlineStr">
        <x:is>
          <x:t xml:space="preserve">Review grouped risks</x:t>
        </x:is>
      </x:c>
      <x:c r="K5" s="3" t="inlineStr">
        <x:is>
          <x:t xml:space="preserve">High-risk pattern detected in PCI DSS access controls</x:t>
        </x:is>
      </x:c>
      <x:c r="L5" s="3" t="inlineStr">
        <x:is>
          <x:t xml:space="preserve">AI grouped 4 high-risk findings around access control and evidence coverage. Addressing quarterly access reviews may close multiple gaps at once.</x:t>
        </x:is>
      </x:c>
      <x:c r="M5" s="3" t="inlineStr">
        <x:is>
          <x:t xml:space="preserve">Max once per 24h per framework</x:t>
        </x:is>
      </x:c>
      <x:c r="N5" s="3" t="inlineStr">
        <x:is>
          <x:t xml:space="preserve">High</x:t>
        </x:is>
      </x:c>
      <x:c r="O5" s="5" t="n">
        <x:v>5</x:v>
      </x:c>
      <x:c r="P5" s="5" t="n">
        <x:v>4</x:v>
      </x:c>
      <x:c r="Q5" s="5" t="n">
        <x:v>4</x:v>
      </x:c>
      <x:c r="R5" s="6">
        <x:f>O5*2+P5*2+Q5</x:f>
        <x:v>22</x:v>
      </x:c>
      <x:c r="S5" s="7" t="str">
        <x:f>IF(R5&gt;=22,"Critical",IF(R5&gt;=18,"High",IF(R5&gt;=12,"Medium","Low")))</x:f>
        <x:v>Critical</x:v>
      </x:c>
      <x:c r="T5" s="7" t="str">
        <x:f>IF(N5=S5,"Yes","Review")</x:f>
        <x:v>Review</x:v>
      </x:c>
      <x:c r="U5" s="6">
        <x:f>IF(S5="Critical",4,IF(S5="High",24,IF(S5="Medium",72,168)))</x:f>
        <x:v>4</x:v>
      </x:c>
      <x:c r="V5" s="3" t="inlineStr">
        <x:is>
          <x:t xml:space="preserve">Compliance Ops</x:t>
        </x:is>
      </x:c>
      <x:c r="W5" s="3" t="inlineStr">
        <x:is>
          <x:t xml:space="preserve">MVP</x:t>
        </x:is>
      </x:c>
      <x:c r="X5" s="7">
        <x:f>IF(ISNUMBER(SEARCH("In-app",F5)),1,0)</x:f>
        <x:v>1</x:v>
      </x:c>
      <x:c r="Y5" s="7">
        <x:f>IF(ISNUMBER(SEARCH("Email",F5)),1,0)</x:f>
        <x:v>1</x:v>
      </x:c>
      <x:c r="Z5" s="7">
        <x:f>IF(ISNUMBER(SEARCH("Slack",F5)),1,0)</x:f>
        <x:v>0</x:v>
      </x:c>
    </x:row>
    <x:row r="6" ht="72" customHeight="1">
      <x:c r="A6" s="3" t="inlineStr">
        <x:is>
          <x:t xml:space="preserve">AI-005</x:t>
        </x:is>
      </x:c>
      <x:c r="B6" s="3" t="inlineStr">
        <x:is>
          <x:t xml:space="preserve">Evidence</x:t>
        </x:is>
      </x:c>
      <x:c r="C6" s="3" t="inlineStr">
        <x:is>
          <x:t xml:space="preserve">Evidence expires in 30 days</x:t>
        </x:is>
      </x:c>
      <x:c r="D6" s="3" t="inlineStr">
        <x:is>
          <x:t xml:space="preserve">Evidence Management</x:t>
        </x:is>
      </x:c>
      <x:c r="E6" s="3" t="inlineStr">
        <x:is>
          <x:t xml:space="preserve">Owner, Admin, Analyst</x:t>
        </x:is>
      </x:c>
      <x:c r="F6" s="3" t="inlineStr">
        <x:is>
          <x:t xml:space="preserve">In-app, Email digest</x:t>
        </x:is>
      </x:c>
      <x:c r="G6" s="3" t="inlineStr">
        <x:is>
          <x:t xml:space="preserve">A time-bound document or artifact is expected to expire within 30 days.</x:t>
        </x:is>
      </x:c>
      <x:c r="H6" s="3" t="inlineStr">
        <x:is>
          <x:t xml:space="preserve">Identify expiring evidence, impacted controls, and what replacement evidence to gather.</x:t>
        </x:is>
      </x:c>
      <x:c r="I6" s="3" t="inlineStr">
        <x:is>
          <x:t xml:space="preserve">Only notify if the evidence is attached to at least one active control or open finding.</x:t>
        </x:is>
      </x:c>
      <x:c r="J6" s="3" t="inlineStr">
        <x:is>
          <x:t xml:space="preserve">Refresh evidence</x:t>
        </x:is>
      </x:c>
      <x:c r="K6" s="3" t="inlineStr">
        <x:is>
          <x:t xml:space="preserve">3 evidence items expire next month</x:t>
        </x:is>
      </x:c>
      <x:c r="L6" s="3" t="inlineStr">
        <x:is>
          <x:t xml:space="preserve">AI identified evidence that will soon become stale for PCI DSS and HIPAA controls. Refreshing these files now will prevent audit readiness drift.</x:t>
        </x:is>
      </x:c>
      <x:c r="M6" s="3" t="inlineStr">
        <x:is>
          <x:t xml:space="preserve">Weekly</x:t>
        </x:is>
      </x:c>
      <x:c r="N6" s="3" t="inlineStr">
        <x:is>
          <x:t xml:space="preserve">Medium</x:t>
        </x:is>
      </x:c>
      <x:c r="O6" s="5" t="n">
        <x:v>3</x:v>
      </x:c>
      <x:c r="P6" s="5" t="n">
        <x:v>2</x:v>
      </x:c>
      <x:c r="Q6" s="5" t="n">
        <x:v>5</x:v>
      </x:c>
      <x:c r="R6" s="6">
        <x:f>O6*2+P6*2+Q6</x:f>
        <x:v>15</x:v>
      </x:c>
      <x:c r="S6" s="7" t="str">
        <x:f>IF(R6&gt;=22,"Critical",IF(R6&gt;=18,"High",IF(R6&gt;=12,"Medium","Low")))</x:f>
        <x:v>Medium</x:v>
      </x:c>
      <x:c r="T6" s="7" t="str">
        <x:f>IF(N6=S6,"Yes","Review")</x:f>
        <x:v>Yes</x:v>
      </x:c>
      <x:c r="U6" s="6">
        <x:f>IF(S6="Critical",4,IF(S6="High",24,IF(S6="Medium",72,168)))</x:f>
        <x:v>72</x:v>
      </x:c>
      <x:c r="V6" s="3" t="inlineStr">
        <x:is>
          <x:t xml:space="preserve">Product</x:t>
        </x:is>
      </x:c>
      <x:c r="W6" s="3" t="inlineStr">
        <x:is>
          <x:t xml:space="preserve">MVP</x:t>
        </x:is>
      </x:c>
      <x:c r="X6" s="7">
        <x:f>IF(ISNUMBER(SEARCH("In-app",F6)),1,0)</x:f>
        <x:v>1</x:v>
      </x:c>
      <x:c r="Y6" s="7">
        <x:f>IF(ISNUMBER(SEARCH("Email",F6)),1,0)</x:f>
        <x:v>1</x:v>
      </x:c>
      <x:c r="Z6" s="7">
        <x:f>IF(ISNUMBER(SEARCH("Slack",F6)),1,0)</x:f>
        <x:v>0</x:v>
      </x:c>
    </x:row>
    <x:row r="7" ht="72" customHeight="1">
      <x:c r="A7" s="3" t="inlineStr">
        <x:is>
          <x:t xml:space="preserve">AI-006</x:t>
        </x:is>
      </x:c>
      <x:c r="B7" s="3" t="inlineStr">
        <x:is>
          <x:t xml:space="preserve">Evidence</x:t>
        </x:is>
      </x:c>
      <x:c r="C7" s="3" t="inlineStr">
        <x:is>
          <x:t xml:space="preserve">Evidence expires in 7 days</x:t>
        </x:is>
      </x:c>
      <x:c r="D7" s="3" t="inlineStr">
        <x:is>
          <x:t xml:space="preserve">Evidence Management</x:t>
        </x:is>
      </x:c>
      <x:c r="E7" s="3" t="inlineStr">
        <x:is>
          <x:t xml:space="preserve">Owner, Admin, Analyst</x:t>
        </x:is>
      </x:c>
      <x:c r="F7" s="3" t="inlineStr">
        <x:is>
          <x:t xml:space="preserve">In-app, Email</x:t>
        </x:is>
      </x:c>
      <x:c r="G7" s="3" t="inlineStr">
        <x:is>
          <x:t xml:space="preserve">A time-bound document or artifact is expected to expire within 7 days.</x:t>
        </x:is>
      </x:c>
      <x:c r="H7" s="3" t="inlineStr">
        <x:is>
          <x:t xml:space="preserve">Escalate with exact control impact and recommended assignee.</x:t>
        </x:is>
      </x:c>
      <x:c r="I7" s="3" t="inlineStr">
        <x:is>
          <x:t xml:space="preserve">Suppress after replacement evidence is uploaded or due date is extended.</x:t>
        </x:is>
      </x:c>
      <x:c r="J7" s="3" t="inlineStr">
        <x:is>
          <x:t xml:space="preserve">Replace evidence now</x:t>
        </x:is>
      </x:c>
      <x:c r="K7" s="3" t="inlineStr">
        <x:is>
          <x:t xml:space="preserve">Urgent: MFA review evidence expires in 7 days</x:t>
        </x:is>
      </x:c>
      <x:c r="L7" s="3" t="inlineStr">
        <x:is>
          <x:t xml:space="preserve">This evidence supports active compliance controls and will age out soon. Upload updated proof to avoid a downgrade in control coverage.</x:t>
        </x:is>
      </x:c>
      <x:c r="M7" s="3" t="inlineStr">
        <x:is>
          <x:t xml:space="preserve">Daily until resolved</x:t>
        </x:is>
      </x:c>
      <x:c r="N7" s="3" t="inlineStr">
        <x:is>
          <x:t xml:space="preserve">High</x:t>
        </x:is>
      </x:c>
      <x:c r="O7" s="5" t="n">
        <x:v>4</x:v>
      </x:c>
      <x:c r="P7" s="5" t="n">
        <x:v>5</x:v>
      </x:c>
      <x:c r="Q7" s="5" t="n">
        <x:v>5</x:v>
      </x:c>
      <x:c r="R7" s="6">
        <x:f>O7*2+P7*2+Q7</x:f>
        <x:v>23</x:v>
      </x:c>
      <x:c r="S7" s="7" t="str">
        <x:f>IF(R7&gt;=22,"Critical",IF(R7&gt;=18,"High",IF(R7&gt;=12,"Medium","Low")))</x:f>
        <x:v>Critical</x:v>
      </x:c>
      <x:c r="T7" s="7" t="str">
        <x:f>IF(N7=S7,"Yes","Review")</x:f>
        <x:v>Review</x:v>
      </x:c>
      <x:c r="U7" s="6">
        <x:f>IF(S7="Critical",4,IF(S7="High",24,IF(S7="Medium",72,168)))</x:f>
        <x:v>4</x:v>
      </x:c>
      <x:c r="V7" s="3" t="inlineStr">
        <x:is>
          <x:t xml:space="preserve">Product</x:t>
        </x:is>
      </x:c>
      <x:c r="W7" s="3" t="inlineStr">
        <x:is>
          <x:t xml:space="preserve">MVP</x:t>
        </x:is>
      </x:c>
      <x:c r="X7" s="7">
        <x:f>IF(ISNUMBER(SEARCH("In-app",F7)),1,0)</x:f>
        <x:v>1</x:v>
      </x:c>
      <x:c r="Y7" s="7">
        <x:f>IF(ISNUMBER(SEARCH("Email",F7)),1,0)</x:f>
        <x:v>1</x:v>
      </x:c>
      <x:c r="Z7" s="7">
        <x:f>IF(ISNUMBER(SEARCH("Slack",F7)),1,0)</x:f>
        <x:v>0</x:v>
      </x:c>
    </x:row>
    <x:row r="8" ht="72" customHeight="1">
      <x:c r="A8" s="3" t="inlineStr">
        <x:is>
          <x:t xml:space="preserve">AI-007</x:t>
        </x:is>
      </x:c>
      <x:c r="B8" s="3" t="inlineStr">
        <x:is>
          <x:t xml:space="preserve">Remediation</x:t>
        </x:is>
      </x:c>
      <x:c r="C8" s="3" t="inlineStr">
        <x:is>
          <x:t xml:space="preserve">Remediation task assigned</x:t>
        </x:is>
      </x:c>
      <x:c r="D8" s="3" t="inlineStr">
        <x:is>
          <x:t xml:space="preserve">Risk Review → Remediation</x:t>
        </x:is>
      </x:c>
      <x:c r="E8" s="3" t="inlineStr">
        <x:is>
          <x:t xml:space="preserve">Assigned User</x:t>
        </x:is>
      </x:c>
      <x:c r="F8" s="3" t="inlineStr">
        <x:is>
          <x:t xml:space="preserve">In-app, Email</x:t>
        </x:is>
      </x:c>
      <x:c r="G8" s="3" t="inlineStr">
        <x:is>
          <x:t xml:space="preserve">A finding is assigned to a user for remediation.</x:t>
        </x:is>
      </x:c>
      <x:c r="H8" s="3" t="inlineStr">
        <x:is>
          <x:t xml:space="preserve">Summarize the finding, explain why the user was assigned, and recommend the first proof artifact to upload.</x:t>
        </x:is>
      </x:c>
      <x:c r="I8" s="3" t="inlineStr">
        <x:is>
          <x:t xml:space="preserve">Suppress if assignment happens while the user is actively on the finding detail page.</x:t>
        </x:is>
      </x:c>
      <x:c r="J8" s="3" t="inlineStr">
        <x:is>
          <x:t xml:space="preserve">Start remediation</x:t>
        </x:is>
      </x:c>
      <x:c r="K8" s="3" t="inlineStr">
        <x:is>
          <x:t xml:space="preserve">You were assigned a remediation task</x:t>
        </x:is>
      </x:c>
      <x:c r="L8" s="3" t="inlineStr">
        <x:is>
          <x:t xml:space="preserve">AI recommends starting with evidence upload: provide the latest access review export and owner approval to address this control gap.</x:t>
        </x:is>
      </x:c>
      <x:c r="M8" s="3" t="inlineStr">
        <x:is>
          <x:t xml:space="preserve">Per assignment</x:t>
        </x:is>
      </x:c>
      <x:c r="N8" s="3" t="inlineStr">
        <x:is>
          <x:t xml:space="preserve">Medium</x:t>
        </x:is>
      </x:c>
      <x:c r="O8" s="5" t="n">
        <x:v>3</x:v>
      </x:c>
      <x:c r="P8" s="5" t="n">
        <x:v>3</x:v>
      </x:c>
      <x:c r="Q8" s="5" t="n">
        <x:v>5</x:v>
      </x:c>
      <x:c r="R8" s="6">
        <x:f>O8*2+P8*2+Q8</x:f>
        <x:v>17</x:v>
      </x:c>
      <x:c r="S8" s="7" t="str">
        <x:f>IF(R8&gt;=22,"Critical",IF(R8&gt;=18,"High",IF(R8&gt;=12,"Medium","Low")))</x:f>
        <x:v>Medium</x:v>
      </x:c>
      <x:c r="T8" s="7" t="str">
        <x:f>IF(N8=S8,"Yes","Review")</x:f>
        <x:v>Yes</x:v>
      </x:c>
      <x:c r="U8" s="6">
        <x:f>IF(S8="Critical",4,IF(S8="High",24,IF(S8="Medium",72,168)))</x:f>
        <x:v>72</x:v>
      </x:c>
      <x:c r="V8" s="3" t="inlineStr">
        <x:is>
          <x:t xml:space="preserve">Product</x:t>
        </x:is>
      </x:c>
      <x:c r="W8" s="3" t="inlineStr">
        <x:is>
          <x:t xml:space="preserve">MVP</x:t>
        </x:is>
      </x:c>
      <x:c r="X8" s="7">
        <x:f>IF(ISNUMBER(SEARCH("In-app",F8)),1,0)</x:f>
        <x:v>1</x:v>
      </x:c>
      <x:c r="Y8" s="7">
        <x:f>IF(ISNUMBER(SEARCH("Email",F8)),1,0)</x:f>
        <x:v>1</x:v>
      </x:c>
      <x:c r="Z8" s="7">
        <x:f>IF(ISNUMBER(SEARCH("Slack",F8)),1,0)</x:f>
        <x:v>0</x:v>
      </x:c>
    </x:row>
    <x:row r="9" ht="72" customHeight="1">
      <x:c r="A9" s="3" t="inlineStr">
        <x:is>
          <x:t xml:space="preserve">AI-008</x:t>
        </x:is>
      </x:c>
      <x:c r="B9" s="3" t="inlineStr">
        <x:is>
          <x:t xml:space="preserve">Remediation</x:t>
        </x:is>
      </x:c>
      <x:c r="C9" s="3" t="inlineStr">
        <x:is>
          <x:t xml:space="preserve">Remediation due soon</x:t>
        </x:is>
      </x:c>
      <x:c r="D9" s="3" t="inlineStr">
        <x:is>
          <x:t xml:space="preserve">Risk Review → Remediation</x:t>
        </x:is>
      </x:c>
      <x:c r="E9" s="3" t="inlineStr">
        <x:is>
          <x:t xml:space="preserve">Assigned User, Admin</x:t>
        </x:is>
      </x:c>
      <x:c r="F9" s="3" t="inlineStr">
        <x:is>
          <x:t xml:space="preserve">In-app, Email</x:t>
        </x:is>
      </x:c>
      <x:c r="G9" s="3" t="inlineStr">
        <x:is>
          <x:t xml:space="preserve">A remediation task due date is within 3 days and task remains open or in progress.</x:t>
        </x:is>
      </x:c>
      <x:c r="H9" s="3" t="inlineStr">
        <x:is>
          <x:t xml:space="preserve">Remind with remaining work, blockers inferred from missing evidence, and a recommended completion path.</x:t>
        </x:is>
      </x:c>
      <x:c r="I9" s="3" t="inlineStr">
        <x:is>
          <x:t xml:space="preserve">Suppress if user completed a meaningful action on the task within the last 12 hours.</x:t>
        </x:is>
      </x:c>
      <x:c r="J9" s="3" t="inlineStr">
        <x:is>
          <x:t xml:space="preserve">Update task</x:t>
        </x:is>
      </x:c>
      <x:c r="K9" s="3" t="inlineStr">
        <x:is>
          <x:t xml:space="preserve">Task due in 3 days: Upload audit log evidence</x:t>
        </x:is>
      </x:c>
      <x:c r="L9" s="3" t="inlineStr">
        <x:is>
          <x:t xml:space="preserve">This remediation is close to deadline. AI suggests adding the Q1 audit-log export and linking it to the finding to move the task into review.</x:t>
        </x:is>
      </x:c>
      <x:c r="M9" s="3" t="inlineStr">
        <x:is>
          <x:t xml:space="preserve">Daily</x:t>
        </x:is>
      </x:c>
      <x:c r="N9" s="3" t="inlineStr">
        <x:is>
          <x:t xml:space="preserve">High</x:t>
        </x:is>
      </x:c>
      <x:c r="O9" s="5" t="n">
        <x:v>4</x:v>
      </x:c>
      <x:c r="P9" s="5" t="n">
        <x:v>4</x:v>
      </x:c>
      <x:c r="Q9" s="5" t="n">
        <x:v>5</x:v>
      </x:c>
      <x:c r="R9" s="6">
        <x:f>O9*2+P9*2+Q9</x:f>
        <x:v>21</x:v>
      </x:c>
      <x:c r="S9" s="7" t="str">
        <x:f>IF(R9&gt;=22,"Critical",IF(R9&gt;=18,"High",IF(R9&gt;=12,"Medium","Low")))</x:f>
        <x:v>High</x:v>
      </x:c>
      <x:c r="T9" s="7" t="str">
        <x:f>IF(N9=S9,"Yes","Review")</x:f>
        <x:v>Yes</x:v>
      </x:c>
      <x:c r="U9" s="6">
        <x:f>IF(S9="Critical",4,IF(S9="High",24,IF(S9="Medium",72,168)))</x:f>
        <x:v>24</x:v>
      </x:c>
      <x:c r="V9" s="3" t="inlineStr">
        <x:is>
          <x:t xml:space="preserve">Product</x:t>
        </x:is>
      </x:c>
      <x:c r="W9" s="3" t="inlineStr">
        <x:is>
          <x:t xml:space="preserve">MVP</x:t>
        </x:is>
      </x:c>
      <x:c r="X9" s="7">
        <x:f>IF(ISNUMBER(SEARCH("In-app",F9)),1,0)</x:f>
        <x:v>1</x:v>
      </x:c>
      <x:c r="Y9" s="7">
        <x:f>IF(ISNUMBER(SEARCH("Email",F9)),1,0)</x:f>
        <x:v>1</x:v>
      </x:c>
      <x:c r="Z9" s="7">
        <x:f>IF(ISNUMBER(SEARCH("Slack",F9)),1,0)</x:f>
        <x:v>0</x:v>
      </x:c>
    </x:row>
    <x:row r="10" ht="72" customHeight="1">
      <x:c r="A10" s="3" t="inlineStr">
        <x:is>
          <x:t xml:space="preserve">AI-009</x:t>
        </x:is>
      </x:c>
      <x:c r="B10" s="3" t="inlineStr">
        <x:is>
          <x:t xml:space="preserve">Remediation</x:t>
        </x:is>
      </x:c>
      <x:c r="C10" s="3" t="inlineStr">
        <x:is>
          <x:t xml:space="preserve">Remediation overdue</x:t>
        </x:is>
      </x:c>
      <x:c r="D10" s="3" t="inlineStr">
        <x:is>
          <x:t xml:space="preserve">Risk Review → Remediation</x:t>
        </x:is>
      </x:c>
      <x:c r="E10" s="3" t="inlineStr">
        <x:is>
          <x:t xml:space="preserve">Assigned User, Admin, Owner</x:t>
        </x:is>
      </x:c>
      <x:c r="F10" s="3" t="inlineStr">
        <x:is>
          <x:t xml:space="preserve">In-app, Email</x:t>
        </x:is>
      </x:c>
      <x:c r="G10" s="3" t="inlineStr">
        <x:is>
          <x:t xml:space="preserve">A remediation task passes its due date while still unresolved.</x:t>
        </x:is>
      </x:c>
      <x:c r="H10" s="3" t="inlineStr">
        <x:is>
          <x:t xml:space="preserve">Escalate overdue impact, mention related findings, and recommend reassignment or deadline reset if blocked.</x:t>
        </x:is>
      </x:c>
      <x:c r="I10" s="3" t="inlineStr">
        <x:is>
          <x:t xml:space="preserve">Suppress after explicit acknowledgment, reassignment, or deadline change.</x:t>
        </x:is>
      </x:c>
      <x:c r="J10" s="3" t="inlineStr">
        <x:is>
          <x:t xml:space="preserve">Resolve overdue task</x:t>
        </x:is>
      </x:c>
      <x:c r="K10" s="3" t="inlineStr">
        <x:is>
          <x:t xml:space="preserve">Overdue remediation is blocking compliance progress</x:t>
        </x:is>
      </x:c>
      <x:c r="L10" s="3" t="inlineStr">
        <x:is>
          <x:t xml:space="preserve">A high-risk remediation is past due and still affects open controls. Reassign, update the deadline, or upload evidence to prevent score decay.</x:t>
        </x:is>
      </x:c>
      <x:c r="M10" s="3" t="inlineStr">
        <x:is>
          <x:t xml:space="preserve">Daily until acknowledged</x:t>
        </x:is>
      </x:c>
      <x:c r="N10" s="3" t="inlineStr">
        <x:is>
          <x:t xml:space="preserve">Critical</x:t>
        </x:is>
      </x:c>
      <x:c r="O10" s="5" t="n">
        <x:v>5</x:v>
      </x:c>
      <x:c r="P10" s="5" t="n">
        <x:v>5</x:v>
      </x:c>
      <x:c r="Q10" s="5" t="n">
        <x:v>5</x:v>
      </x:c>
      <x:c r="R10" s="6">
        <x:f>O10*2+P10*2+Q10</x:f>
        <x:v>25</x:v>
      </x:c>
      <x:c r="S10" s="7" t="str">
        <x:f>IF(R10&gt;=22,"Critical",IF(R10&gt;=18,"High",IF(R10&gt;=12,"Medium","Low")))</x:f>
        <x:v>Critical</x:v>
      </x:c>
      <x:c r="T10" s="7" t="str">
        <x:f>IF(N10=S10,"Yes","Review")</x:f>
        <x:v>Yes</x:v>
      </x:c>
      <x:c r="U10" s="6">
        <x:f>IF(S10="Critical",4,IF(S10="High",24,IF(S10="Medium",72,168)))</x:f>
        <x:v>4</x:v>
      </x:c>
      <x:c r="V10" s="3" t="inlineStr">
        <x:is>
          <x:t xml:space="preserve">Product + Compliance Ops</x:t>
        </x:is>
      </x:c>
      <x:c r="W10" s="3" t="inlineStr">
        <x:is>
          <x:t xml:space="preserve">MVP</x:t>
        </x:is>
      </x:c>
      <x:c r="X10" s="7">
        <x:f>IF(ISNUMBER(SEARCH("In-app",F10)),1,0)</x:f>
        <x:v>1</x:v>
      </x:c>
      <x:c r="Y10" s="7">
        <x:f>IF(ISNUMBER(SEARCH("Email",F10)),1,0)</x:f>
        <x:v>1</x:v>
      </x:c>
      <x:c r="Z10" s="7">
        <x:f>IF(ISNUMBER(SEARCH("Slack",F10)),1,0)</x:f>
        <x:v>0</x:v>
      </x:c>
    </x:row>
    <x:row r="11" ht="72" customHeight="1">
      <x:c r="A11" s="3" t="inlineStr">
        <x:is>
          <x:t xml:space="preserve">AI-010</x:t>
        </x:is>
      </x:c>
      <x:c r="B11" s="3" t="inlineStr">
        <x:is>
          <x:t xml:space="preserve">Score</x:t>
        </x:is>
      </x:c>
      <x:c r="C11" s="3" t="inlineStr">
        <x:is>
          <x:t xml:space="preserve">Compliance score dropped materially</x:t>
        </x:is>
      </x:c>
      <x:c r="D11" s="3" t="inlineStr">
        <x:is>
          <x:t xml:space="preserve">Dashboard Monitoring</x:t>
        </x:is>
      </x:c>
      <x:c r="E11" s="3" t="inlineStr">
        <x:is>
          <x:t xml:space="preserve">Owner, Admin</x:t>
        </x:is>
      </x:c>
      <x:c r="F11" s="3" t="inlineStr">
        <x:is>
          <x:t xml:space="preserve">In-app, Email</x:t>
        </x:is>
      </x:c>
      <x:c r="G11" s="3" t="inlineStr">
        <x:is>
          <x:t xml:space="preserve">Overall or framework score drops by 5+ points week-over-week or after a new analysis run.</x:t>
        </x:is>
      </x:c>
      <x:c r="H11" s="3" t="inlineStr">
        <x:is>
          <x:t xml:space="preserve">Explain the drivers of decline and point to the fewest actions needed to recover the lost score.</x:t>
        </x:is>
      </x:c>
      <x:c r="I11" s="3" t="inlineStr">
        <x:is>
          <x:t xml:space="preserve">Suppress if the score change is already explained by an open acknowledged incident or one active critical alert.</x:t>
        </x:is>
      </x:c>
      <x:c r="J11" s="3" t="inlineStr">
        <x:is>
          <x:t xml:space="preserve">Review score drivers</x:t>
        </x:is>
      </x:c>
      <x:c r="K11" s="3" t="inlineStr">
        <x:is>
          <x:t xml:space="preserve">Compliance score fell 7 points this week</x:t>
        </x:is>
      </x:c>
      <x:c r="L11" s="3" t="inlineStr">
        <x:is>
          <x:t xml:space="preserve">The drop is mainly tied to expiring evidence and two new access-control findings. Replacing stale evidence may recover 3 points quickly.</x:t>
        </x:is>
      </x:c>
      <x:c r="M11" s="3" t="inlineStr">
        <x:is>
          <x:t xml:space="preserve">Max once per week per scope</x:t>
        </x:is>
      </x:c>
      <x:c r="N11" s="3" t="inlineStr">
        <x:is>
          <x:t xml:space="preserve">High</x:t>
        </x:is>
      </x:c>
      <x:c r="O11" s="5" t="n">
        <x:v>5</x:v>
      </x:c>
      <x:c r="P11" s="5" t="n">
        <x:v>4</x:v>
      </x:c>
      <x:c r="Q11" s="5" t="n">
        <x:v>4</x:v>
      </x:c>
      <x:c r="R11" s="6">
        <x:f>O11*2+P11*2+Q11</x:f>
        <x:v>22</x:v>
      </x:c>
      <x:c r="S11" s="7" t="str">
        <x:f>IF(R11&gt;=22,"Critical",IF(R11&gt;=18,"High",IF(R11&gt;=12,"Medium","Low")))</x:f>
        <x:v>Critical</x:v>
      </x:c>
      <x:c r="T11" s="7" t="str">
        <x:f>IF(N11=S11,"Yes","Review")</x:f>
        <x:v>Review</x:v>
      </x:c>
      <x:c r="U11" s="6">
        <x:f>IF(S11="Critical",4,IF(S11="High",24,IF(S11="Medium",72,168)))</x:f>
        <x:v>4</x:v>
      </x:c>
      <x:c r="V11" s="3" t="inlineStr">
        <x:is>
          <x:t xml:space="preserve">Product + Analytics</x:t>
        </x:is>
      </x:c>
      <x:c r="W11" s="3" t="inlineStr">
        <x:is>
          <x:t xml:space="preserve">MVP</x:t>
        </x:is>
      </x:c>
      <x:c r="X11" s="7">
        <x:f>IF(ISNUMBER(SEARCH("In-app",F11)),1,0)</x:f>
        <x:v>1</x:v>
      </x:c>
      <x:c r="Y11" s="7">
        <x:f>IF(ISNUMBER(SEARCH("Email",F11)),1,0)</x:f>
        <x:v>1</x:v>
      </x:c>
      <x:c r="Z11" s="7">
        <x:f>IF(ISNUMBER(SEARCH("Slack",F11)),1,0)</x:f>
        <x:v>0</x:v>
      </x:c>
    </x:row>
    <x:row r="12" ht="72" customHeight="1">
      <x:c r="A12" s="3" t="inlineStr">
        <x:is>
          <x:t xml:space="preserve">AI-011</x:t>
        </x:is>
      </x:c>
      <x:c r="B12" s="3" t="inlineStr">
        <x:is>
          <x:t xml:space="preserve">Progress</x:t>
        </x:is>
      </x:c>
      <x:c r="C12" s="3" t="inlineStr">
        <x:is>
          <x:t xml:space="preserve">Framework milestone reached</x:t>
        </x:is>
      </x:c>
      <x:c r="D12" s="3" t="inlineStr">
        <x:is>
          <x:t xml:space="preserve">Dashboard Monitoring</x:t>
        </x:is>
      </x:c>
      <x:c r="E12" s="3" t="inlineStr">
        <x:is>
          <x:t xml:space="preserve">Owner, Admin, Analyst</x:t>
        </x:is>
      </x:c>
      <x:c r="F12" s="3" t="inlineStr">
        <x:is>
          <x:t xml:space="preserve">In-app</x:t>
        </x:is>
      </x:c>
      <x:c r="G12" s="3" t="inlineStr">
        <x:is>
          <x:t xml:space="preserve">A framework reaches a milestone such as 50%, 75%, or 90% control coverage.</x:t>
        </x:is>
      </x:c>
      <x:c r="H12" s="3" t="inlineStr">
        <x:is>
          <x:t xml:space="preserve">Celebrate progress and recommend the highest-leverage next controls to close.</x:t>
        </x:is>
      </x:c>
      <x:c r="I12" s="3" t="inlineStr">
        <x:is>
          <x:t xml:space="preserve">Suppress if user disabled celebratory notifications.</x:t>
        </x:is>
      </x:c>
      <x:c r="J12" s="3" t="inlineStr">
        <x:is>
          <x:t xml:space="preserve">See next best controls</x:t>
        </x:is>
      </x:c>
      <x:c r="K12" s="3" t="inlineStr">
        <x:is>
          <x:t xml:space="preserve">PCI DSS reached 75% control coverage</x:t>
        </x:is>
      </x:c>
      <x:c r="L12" s="3" t="inlineStr">
        <x:is>
          <x:t xml:space="preserve">Great progress. AI recommends focusing next on evidence refresh for access review and vendor management to move toward 90%.</x:t>
        </x:is>
      </x:c>
      <x:c r="M12" s="3" t="inlineStr">
        <x:is>
          <x:t xml:space="preserve">Per milestone</x:t>
        </x:is>
      </x:c>
      <x:c r="N12" s="3" t="inlineStr">
        <x:is>
          <x:t xml:space="preserve">Low</x:t>
        </x:is>
      </x:c>
      <x:c r="O12" s="5" t="n">
        <x:v>2</x:v>
      </x:c>
      <x:c r="P12" s="5" t="n">
        <x:v>1</x:v>
      </x:c>
      <x:c r="Q12" s="5" t="n">
        <x:v>5</x:v>
      </x:c>
      <x:c r="R12" s="6">
        <x:f>O12*2+P12*2+Q12</x:f>
        <x:v>11</x:v>
      </x:c>
      <x:c r="S12" s="7" t="str">
        <x:f>IF(R12&gt;=22,"Critical",IF(R12&gt;=18,"High",IF(R12&gt;=12,"Medium","Low")))</x:f>
        <x:v>Low</x:v>
      </x:c>
      <x:c r="T12" s="7" t="str">
        <x:f>IF(N12=S12,"Yes","Review")</x:f>
        <x:v>Yes</x:v>
      </x:c>
      <x:c r="U12" s="6">
        <x:f>IF(S12="Critical",4,IF(S12="High",24,IF(S12="Medium",72,168)))</x:f>
        <x:v>168</x:v>
      </x:c>
      <x:c r="V12" s="3" t="inlineStr">
        <x:is>
          <x:t xml:space="preserve">Product</x:t>
        </x:is>
      </x:c>
      <x:c r="W12" s="3" t="inlineStr">
        <x:is>
          <x:t xml:space="preserve">MVP</x:t>
        </x:is>
      </x:c>
      <x:c r="X12" s="7">
        <x:f>IF(ISNUMBER(SEARCH("In-app",F12)),1,0)</x:f>
        <x:v>1</x:v>
      </x:c>
      <x:c r="Y12" s="7">
        <x:f>IF(ISNUMBER(SEARCH("Email",F12)),1,0)</x:f>
        <x:v>0</x:v>
      </x:c>
      <x:c r="Z12" s="7">
        <x:f>IF(ISNUMBER(SEARCH("Slack",F12)),1,0)</x:f>
        <x:v>0</x:v>
      </x:c>
    </x:row>
    <x:row r="13" ht="72" customHeight="1">
      <x:c r="A13" s="3" t="inlineStr">
        <x:is>
          <x:t xml:space="preserve">AI-012</x:t>
        </x:is>
      </x:c>
      <x:c r="B13" s="3" t="inlineStr">
        <x:is>
          <x:t xml:space="preserve">Adoption</x:t>
        </x:is>
      </x:c>
      <x:c r="C13" s="3" t="inlineStr">
        <x:is>
          <x:t xml:space="preserve">Compliance program appears stalled</x:t>
        </x:is>
      </x:c>
      <x:c r="D13" s="3" t="inlineStr">
        <x:is>
          <x:t xml:space="preserve">Program Adoption</x:t>
        </x:is>
      </x:c>
      <x:c r="E13" s="3" t="inlineStr">
        <x:is>
          <x:t xml:space="preserve">Owner, Admin</x:t>
        </x:is>
      </x:c>
      <x:c r="F13" s="3" t="inlineStr">
        <x:is>
          <x:t xml:space="preserve">Email, In-app</x:t>
        </x:is>
      </x:c>
      <x:c r="G13" s="3" t="inlineStr">
        <x:is>
          <x:t xml:space="preserve">No document uploads, task updates, or analysis runs for 14 days while open findings remain.</x:t>
        </x:is>
      </x:c>
      <x:c r="H13" s="3" t="inlineStr">
        <x:is>
          <x:t xml:space="preserve">Nudge with progress summary, unresolved blockers, and one recommended restart action.</x:t>
        </x:is>
      </x:c>
      <x:c r="I13" s="3" t="inlineStr">
        <x:is>
          <x:t xml:space="preserve">Suppress for dormant sandbox orgs or trial accounts with no frameworks enabled.</x:t>
        </x:is>
      </x:c>
      <x:c r="J13" s="3" t="inlineStr">
        <x:is>
          <x:t xml:space="preserve">Resume work</x:t>
        </x:is>
      </x:c>
      <x:c r="K13" s="3" t="inlineStr">
        <x:is>
          <x:t xml:space="preserve">Your compliance program looks inactive</x:t>
        </x:is>
      </x:c>
      <x:c r="L13" s="3" t="inlineStr">
        <x:is>
          <x:t xml:space="preserve">There are still 6 open findings, but no recent activity. AI suggests uploading refreshed policy evidence or assigning the top overdue remediation first.</x:t>
        </x:is>
      </x:c>
      <x:c r="M13" s="3" t="inlineStr">
        <x:is>
          <x:t xml:space="preserve">Weekly</x:t>
        </x:is>
      </x:c>
      <x:c r="N13" s="3" t="inlineStr">
        <x:is>
          <x:t xml:space="preserve">Medium</x:t>
        </x:is>
      </x:c>
      <x:c r="O13" s="5" t="n">
        <x:v>3</x:v>
      </x:c>
      <x:c r="P13" s="5" t="n">
        <x:v>3</x:v>
      </x:c>
      <x:c r="Q13" s="5" t="n">
        <x:v>4</x:v>
      </x:c>
      <x:c r="R13" s="6">
        <x:f>O13*2+P13*2+Q13</x:f>
        <x:v>16</x:v>
      </x:c>
      <x:c r="S13" s="7" t="str">
        <x:f>IF(R13&gt;=22,"Critical",IF(R13&gt;=18,"High",IF(R13&gt;=12,"Medium","Low")))</x:f>
        <x:v>Medium</x:v>
      </x:c>
      <x:c r="T13" s="7" t="str">
        <x:f>IF(N13=S13,"Yes","Review")</x:f>
        <x:v>Yes</x:v>
      </x:c>
      <x:c r="U13" s="6">
        <x:f>IF(S13="Critical",4,IF(S13="High",24,IF(S13="Medium",72,168)))</x:f>
        <x:v>72</x:v>
      </x:c>
      <x:c r="V13" s="3" t="inlineStr">
        <x:is>
          <x:t xml:space="preserve">Growth + Product</x:t>
        </x:is>
      </x:c>
      <x:c r="W13" s="3" t="inlineStr">
        <x:is>
          <x:t xml:space="preserve">MVP</x:t>
        </x:is>
      </x:c>
      <x:c r="X13" s="7">
        <x:f>IF(ISNUMBER(SEARCH("In-app",F13)),1,0)</x:f>
        <x:v>1</x:v>
      </x:c>
      <x:c r="Y13" s="7">
        <x:f>IF(ISNUMBER(SEARCH("Email",F13)),1,0)</x:f>
        <x:v>1</x:v>
      </x:c>
      <x:c r="Z13" s="7">
        <x:f>IF(ISNUMBER(SEARCH("Slack",F13)),1,0)</x:f>
        <x:v>0</x:v>
      </x:c>
    </x:row>
    <x:row r="14" ht="72" customHeight="1">
      <x:c r="A14" s="3" t="inlineStr">
        <x:is>
          <x:t xml:space="preserve">AI-013</x:t>
        </x:is>
      </x:c>
      <x:c r="B14" s="3" t="inlineStr">
        <x:is>
          <x:t xml:space="preserve">Reporting</x:t>
        </x:is>
      </x:c>
      <x:c r="C14" s="3" t="inlineStr">
        <x:is>
          <x:t xml:space="preserve">Audit report ready</x:t>
        </x:is>
      </x:c>
      <x:c r="D14" s="3" t="inlineStr">
        <x:is>
          <x:t xml:space="preserve">Reporting</x:t>
        </x:is>
      </x:c>
      <x:c r="E14" s="3" t="inlineStr">
        <x:is>
          <x:t xml:space="preserve">Requester, Owner, Admin</x:t>
        </x:is>
      </x:c>
      <x:c r="F14" s="3" t="inlineStr">
        <x:is>
          <x:t xml:space="preserve">In-app, Email</x:t>
        </x:is>
      </x:c>
      <x:c r="G14" s="3" t="inlineStr">
        <x:is>
          <x:t xml:space="preserve">A requested report finishes generation successfully.</x:t>
        </x:is>
      </x:c>
      <x:c r="H14" s="3" t="inlineStr">
        <x:is>
          <x:t xml:space="preserve">Summarize report scope, freshness, and suggested review order.</x:t>
        </x:is>
      </x:c>
      <x:c r="I14" s="3" t="inlineStr">
        <x:is>
          <x:t xml:space="preserve">Suppress if requester is already on the report page at completion.</x:t>
        </x:is>
      </x:c>
      <x:c r="J14" s="3" t="inlineStr">
        <x:is>
          <x:t xml:space="preserve">Open report</x:t>
        </x:is>
      </x:c>
      <x:c r="K14" s="3" t="inlineStr">
        <x:is>
          <x:t xml:space="preserve">Your compliance gap report is ready</x:t>
        </x:is>
      </x:c>
      <x:c r="L14" s="3" t="inlineStr">
        <x:is>
          <x:t xml:space="preserve">The report includes open findings, evidence coverage, and recommended remediation priorities. Review high-risk gaps before sharing externally.</x:t>
        </x:is>
      </x:c>
      <x:c r="M14" s="3" t="inlineStr">
        <x:is>
          <x:t xml:space="preserve">Per report</x:t>
        </x:is>
      </x:c>
      <x:c r="N14" s="3" t="inlineStr">
        <x:is>
          <x:t xml:space="preserve">Medium</x:t>
        </x:is>
      </x:c>
      <x:c r="O14" s="5" t="n">
        <x:v>3</x:v>
      </x:c>
      <x:c r="P14" s="5" t="n">
        <x:v>3</x:v>
      </x:c>
      <x:c r="Q14" s="5" t="n">
        <x:v>5</x:v>
      </x:c>
      <x:c r="R14" s="6">
        <x:f>O14*2+P14*2+Q14</x:f>
        <x:v>17</x:v>
      </x:c>
      <x:c r="S14" s="7" t="str">
        <x:f>IF(R14&gt;=22,"Critical",IF(R14&gt;=18,"High",IF(R14&gt;=12,"Medium","Low")))</x:f>
        <x:v>Medium</x:v>
      </x:c>
      <x:c r="T14" s="7" t="str">
        <x:f>IF(N14=S14,"Yes","Review")</x:f>
        <x:v>Yes</x:v>
      </x:c>
      <x:c r="U14" s="6">
        <x:f>IF(S14="Critical",4,IF(S14="High",24,IF(S14="Medium",72,168)))</x:f>
        <x:v>72</x:v>
      </x:c>
      <x:c r="V14" s="3" t="inlineStr">
        <x:is>
          <x:t xml:space="preserve">Product</x:t>
        </x:is>
      </x:c>
      <x:c r="W14" s="3" t="inlineStr">
        <x:is>
          <x:t xml:space="preserve">MVP</x:t>
        </x:is>
      </x:c>
      <x:c r="X14" s="7">
        <x:f>IF(ISNUMBER(SEARCH("In-app",F14)),1,0)</x:f>
        <x:v>1</x:v>
      </x:c>
      <x:c r="Y14" s="7">
        <x:f>IF(ISNUMBER(SEARCH("Email",F14)),1,0)</x:f>
        <x:v>1</x:v>
      </x:c>
      <x:c r="Z14" s="7">
        <x:f>IF(ISNUMBER(SEARCH("Slack",F14)),1,0)</x:f>
        <x:v>0</x:v>
      </x:c>
    </x:row>
    <x:row r="15" ht="72" customHeight="1">
      <x:c r="A15" s="3" t="inlineStr">
        <x:is>
          <x:t xml:space="preserve">AI-014</x:t>
        </x:is>
      </x:c>
      <x:c r="B15" s="3" t="inlineStr">
        <x:is>
          <x:t xml:space="preserve">Auditor Access</x:t>
        </x:is>
      </x:c>
      <x:c r="C15" s="3" t="inlineStr">
        <x:is>
          <x:t xml:space="preserve">Auditor share link expiring</x:t>
        </x:is>
      </x:c>
      <x:c r="D15" s="3" t="inlineStr">
        <x:is>
          <x:t xml:space="preserve">Reporting → Auditor Access</x:t>
        </x:is>
      </x:c>
      <x:c r="E15" s="3" t="inlineStr">
        <x:is>
          <x:t xml:space="preserve">Owner, Admin</x:t>
        </x:is>
      </x:c>
      <x:c r="F15" s="3" t="inlineStr">
        <x:is>
          <x:t xml:space="preserve">In-app, Email</x:t>
        </x:is>
      </x:c>
      <x:c r="G15" s="3" t="inlineStr">
        <x:is>
          <x:t xml:space="preserve">An external auditor access link will expire within 48 hours.</x:t>
        </x:is>
      </x:c>
      <x:c r="H15" s="3" t="inlineStr">
        <x:is>
          <x:t xml:space="preserve">Mention which report is affected and suggest extending access only if audit activity is still active.</x:t>
        </x:is>
      </x:c>
      <x:c r="I15" s="3" t="inlineStr">
        <x:is>
          <x:t xml:space="preserve">Suppress if the audit window is already closed or the link was unused.</x:t>
        </x:is>
      </x:c>
      <x:c r="J15" s="3" t="inlineStr">
        <x:is>
          <x:t xml:space="preserve">Manage auditor access</x:t>
        </x:is>
      </x:c>
      <x:c r="K15" s="3" t="inlineStr">
        <x:is>
          <x:t xml:space="preserve">Auditor access expires in 48 hours</x:t>
        </x:is>
      </x:c>
      <x:c r="L15" s="3" t="inlineStr">
        <x:is>
          <x:t xml:space="preserve">Your external auditor link for the PCI DSS gap report will expire soon. Extend access only if the audit review is still underway.</x:t>
        </x:is>
      </x:c>
      <x:c r="M15" s="3" t="inlineStr">
        <x:is>
          <x:t xml:space="preserve">Once per share link</x:t>
        </x:is>
      </x:c>
      <x:c r="N15" s="3" t="inlineStr">
        <x:is>
          <x:t xml:space="preserve">Medium</x:t>
        </x:is>
      </x:c>
      <x:c r="O15" s="5" t="n">
        <x:v>3</x:v>
      </x:c>
      <x:c r="P15" s="5" t="n">
        <x:v>3</x:v>
      </x:c>
      <x:c r="Q15" s="5" t="n">
        <x:v>5</x:v>
      </x:c>
      <x:c r="R15" s="6">
        <x:f>O15*2+P15*2+Q15</x:f>
        <x:v>17</x:v>
      </x:c>
      <x:c r="S15" s="7" t="str">
        <x:f>IF(R15&gt;=22,"Critical",IF(R15&gt;=18,"High",IF(R15&gt;=12,"Medium","Low")))</x:f>
        <x:v>Medium</x:v>
      </x:c>
      <x:c r="T15" s="7" t="str">
        <x:f>IF(N15=S15,"Yes","Review")</x:f>
        <x:v>Yes</x:v>
      </x:c>
      <x:c r="U15" s="6">
        <x:f>IF(S15="Critical",4,IF(S15="High",24,IF(S15="Medium",72,168)))</x:f>
        <x:v>72</x:v>
      </x:c>
      <x:c r="V15" s="3" t="inlineStr">
        <x:is>
          <x:t xml:space="preserve">Product</x:t>
        </x:is>
      </x:c>
      <x:c r="W15" s="3" t="inlineStr">
        <x:is>
          <x:t xml:space="preserve">MVP</x:t>
        </x:is>
      </x:c>
      <x:c r="X15" s="7">
        <x:f>IF(ISNUMBER(SEARCH("In-app",F15)),1,0)</x:f>
        <x:v>1</x:v>
      </x:c>
      <x:c r="Y15" s="7">
        <x:f>IF(ISNUMBER(SEARCH("Email",F15)),1,0)</x:f>
        <x:v>1</x:v>
      </x:c>
      <x:c r="Z15" s="7">
        <x:f>IF(ISNUMBER(SEARCH("Slack",F15)),1,0)</x:f>
        <x:v>0</x:v>
      </x:c>
    </x:row>
    <x:row r="16" ht="72" customHeight="1">
      <x:c r="A16" s="3" t="inlineStr">
        <x:is>
          <x:t xml:space="preserve">AI-015</x:t>
        </x:is>
      </x:c>
      <x:c r="B16" s="3" t="inlineStr">
        <x:is>
          <x:t xml:space="preserve">Evidence</x:t>
        </x:is>
      </x:c>
      <x:c r="C16" s="3" t="inlineStr">
        <x:is>
          <x:t xml:space="preserve">Policy or evidence appears stale</x:t>
        </x:is>
      </x:c>
      <x:c r="D16" s="3" t="inlineStr">
        <x:is>
          <x:t xml:space="preserve">Evidence Management</x:t>
        </x:is>
      </x:c>
      <x:c r="E16" s="3" t="inlineStr">
        <x:is>
          <x:t xml:space="preserve">Owner, Admin, Analyst</x:t>
        </x:is>
      </x:c>
      <x:c r="F16" s="3" t="inlineStr">
        <x:is>
          <x:t xml:space="preserve">In-app, Email digest</x:t>
        </x:is>
      </x:c>
      <x:c r="G16" s="3" t="inlineStr">
        <x:is>
          <x:t xml:space="preserve">AI detects a policy or artifact is older than the configured review cadence or contradicts newer evidence.</x:t>
        </x:is>
      </x:c>
      <x:c r="H16" s="3" t="inlineStr">
        <x:is>
          <x:t xml:space="preserve">Explain why the content looks stale and identify the likely replacement or review owner.</x:t>
        </x:is>
      </x:c>
      <x:c r="I16" s="3" t="inlineStr">
        <x:is>
          <x:t xml:space="preserve">Suppress if a newer version was uploaded but not yet processed.</x:t>
        </x:is>
      </x:c>
      <x:c r="J16" s="3" t="inlineStr">
        <x:is>
          <x:t xml:space="preserve">Review stale content</x:t>
        </x:is>
      </x:c>
      <x:c r="K16" s="3" t="inlineStr">
        <x:is>
          <x:t xml:space="preserve">Password policy may be outdated</x:t>
        </x:is>
      </x:c>
      <x:c r="L16" s="3" t="inlineStr">
        <x:is>
          <x:t xml:space="preserve">AI detected that the password policy appears older than the review cadence and may not reflect current MFA settings. Confirm or replace the document.</x:t>
        </x:is>
      </x:c>
      <x:c r="M16" s="3" t="inlineStr">
        <x:is>
          <x:t xml:space="preserve">Weekly</x:t>
        </x:is>
      </x:c>
      <x:c r="N16" s="3" t="inlineStr">
        <x:is>
          <x:t xml:space="preserve">High</x:t>
        </x:is>
      </x:c>
      <x:c r="O16" s="5" t="n">
        <x:v>4</x:v>
      </x:c>
      <x:c r="P16" s="5" t="n">
        <x:v>3</x:v>
      </x:c>
      <x:c r="Q16" s="5" t="n">
        <x:v>4</x:v>
      </x:c>
      <x:c r="R16" s="6">
        <x:f>O16*2+P16*2+Q16</x:f>
        <x:v>18</x:v>
      </x:c>
      <x:c r="S16" s="7" t="str">
        <x:f>IF(R16&gt;=22,"Critical",IF(R16&gt;=18,"High",IF(R16&gt;=12,"Medium","Low")))</x:f>
        <x:v>High</x:v>
      </x:c>
      <x:c r="T16" s="7" t="str">
        <x:f>IF(N16=S16,"Yes","Review")</x:f>
        <x:v>Yes</x:v>
      </x:c>
      <x:c r="U16" s="6">
        <x:f>IF(S16="Critical",4,IF(S16="High",24,IF(S16="Medium",72,168)))</x:f>
        <x:v>24</x:v>
      </x:c>
      <x:c r="V16" s="3" t="inlineStr">
        <x:is>
          <x:t xml:space="preserve">Compliance Ops</x:t>
        </x:is>
      </x:c>
      <x:c r="W16" s="3" t="inlineStr">
        <x:is>
          <x:t xml:space="preserve">MVP</x:t>
        </x:is>
      </x:c>
      <x:c r="X16" s="7">
        <x:f>IF(ISNUMBER(SEARCH("In-app",F16)),1,0)</x:f>
        <x:v>1</x:v>
      </x:c>
      <x:c r="Y16" s="7">
        <x:f>IF(ISNUMBER(SEARCH("Email",F16)),1,0)</x:f>
        <x:v>1</x:v>
      </x:c>
      <x:c r="Z16" s="7">
        <x:f>IF(ISNUMBER(SEARCH("Slack",F16)),1,0)</x:f>
        <x:v>0</x:v>
      </x:c>
    </x:row>
    <x:row r="17" ht="72" customHeight="1">
      <x:c r="A17" s="3" t="inlineStr">
        <x:is>
          <x:t xml:space="preserve">AI-016</x:t>
        </x:is>
      </x:c>
      <x:c r="B17" s="3" t="inlineStr">
        <x:is>
          <x:t xml:space="preserve">Evidence</x:t>
        </x:is>
      </x:c>
      <x:c r="C17" s="3" t="inlineStr">
        <x:is>
          <x:t xml:space="preserve">Possible duplicate evidence detected</x:t>
        </x:is>
      </x:c>
      <x:c r="D17" s="3" t="inlineStr">
        <x:is>
          <x:t xml:space="preserve">Evidence Management</x:t>
        </x:is>
      </x:c>
      <x:c r="E17" s="3" t="inlineStr">
        <x:is>
          <x:t xml:space="preserve">Admin, Analyst</x:t>
        </x:is>
      </x:c>
      <x:c r="F17" s="3" t="inlineStr">
        <x:is>
          <x:t xml:space="preserve">In-app</x:t>
        </x:is>
      </x:c>
      <x:c r="G17" s="3" t="inlineStr">
        <x:is>
          <x:t xml:space="preserve">AI detects near-duplicate files attached to the same control or finding.</x:t>
        </x:is>
      </x:c>
      <x:c r="H17" s="3" t="inlineStr">
        <x:is>
          <x:t xml:space="preserve">Recommend which file version to retain and which duplicates to archive.</x:t>
        </x:is>
      </x:c>
      <x:c r="I17" s="3" t="inlineStr">
        <x:is>
          <x:t xml:space="preserve">Suppress if duplicate files differ by date and are intentionally versioned.</x:t>
        </x:is>
      </x:c>
      <x:c r="J17" s="3" t="inlineStr">
        <x:is>
          <x:t xml:space="preserve">Review duplicates</x:t>
        </x:is>
      </x:c>
      <x:c r="K17" s="3" t="inlineStr">
        <x:is>
          <x:t xml:space="preserve">Duplicate evidence may be cluttering this control</x:t>
        </x:is>
      </x:c>
      <x:c r="L17" s="3" t="inlineStr">
        <x:is>
          <x:t xml:space="preserve">AI found two near-identical files attached to the same control. Keeping the newest version may reduce reviewer confusion.</x:t>
        </x:is>
      </x:c>
      <x:c r="M17" s="3" t="inlineStr">
        <x:is>
          <x:t xml:space="preserve">Per duplicate cluster</x:t>
        </x:is>
      </x:c>
      <x:c r="N17" s="3" t="inlineStr">
        <x:is>
          <x:t xml:space="preserve">Low</x:t>
        </x:is>
      </x:c>
      <x:c r="O17" s="5" t="n">
        <x:v>2</x:v>
      </x:c>
      <x:c r="P17" s="5" t="n">
        <x:v>1</x:v>
      </x:c>
      <x:c r="Q17" s="5" t="n">
        <x:v>4</x:v>
      </x:c>
      <x:c r="R17" s="6">
        <x:f>O17*2+P17*2+Q17</x:f>
        <x:v>10</x:v>
      </x:c>
      <x:c r="S17" s="7" t="str">
        <x:f>IF(R17&gt;=22,"Critical",IF(R17&gt;=18,"High",IF(R17&gt;=12,"Medium","Low")))</x:f>
        <x:v>Low</x:v>
      </x:c>
      <x:c r="T17" s="7" t="str">
        <x:f>IF(N17=S17,"Yes","Review")</x:f>
        <x:v>Yes</x:v>
      </x:c>
      <x:c r="U17" s="6">
        <x:f>IF(S17="Critical",4,IF(S17="High",24,IF(S17="Medium",72,168)))</x:f>
        <x:v>168</x:v>
      </x:c>
      <x:c r="V17" s="3" t="inlineStr">
        <x:is>
          <x:t xml:space="preserve">Product</x:t>
        </x:is>
      </x:c>
      <x:c r="W17" s="3" t="inlineStr">
        <x:is>
          <x:t xml:space="preserve">Future</x:t>
        </x:is>
      </x:c>
      <x:c r="X17" s="7">
        <x:f>IF(ISNUMBER(SEARCH("In-app",F17)),1,0)</x:f>
        <x:v>1</x:v>
      </x:c>
      <x:c r="Y17" s="7">
        <x:f>IF(ISNUMBER(SEARCH("Email",F17)),1,0)</x:f>
        <x:v>0</x:v>
      </x:c>
      <x:c r="Z17" s="7">
        <x:f>IF(ISNUMBER(SEARCH("Slack",F17)),1,0)</x:f>
        <x:v>0</x:v>
      </x:c>
    </x:row>
    <x:row r="18" ht="72" customHeight="1">
      <x:c r="A18" s="3" t="inlineStr">
        <x:is>
          <x:t xml:space="preserve">AI-017</x:t>
        </x:is>
      </x:c>
      <x:c r="B18" s="3" t="inlineStr">
        <x:is>
          <x:t xml:space="preserve">Framework Update</x:t>
        </x:is>
      </x:c>
      <x:c r="C18" s="3" t="inlineStr">
        <x:is>
          <x:t xml:space="preserve">Framework update may affect your controls</x:t>
        </x:is>
      </x:c>
      <x:c r="D18" s="3" t="inlineStr">
        <x:is>
          <x:t xml:space="preserve">Continuous Monitoring</x:t>
        </x:is>
      </x:c>
      <x:c r="E18" s="3" t="inlineStr">
        <x:is>
          <x:t xml:space="preserve">Owner, Admin</x:t>
        </x:is>
      </x:c>
      <x:c r="F18" s="3" t="inlineStr">
        <x:is>
          <x:t xml:space="preserve">Email, In-app</x:t>
        </x:is>
      </x:c>
      <x:c r="G18" s="3" t="inlineStr">
        <x:is>
          <x:t xml:space="preserve">A compliance framework mapping or rule set is updated and overlaps enabled controls.</x:t>
        </x:is>
      </x:c>
      <x:c r="H18" s="3" t="inlineStr">
        <x:is>
          <x:t xml:space="preserve">Summarize impacted controls, likely documentation gaps, and the recommended review scope.</x:t>
        </x:is>
      </x:c>
      <x:c r="I18" s="3" t="inlineStr">
        <x:is>
          <x:t xml:space="preserve">Suppress if the update only changes metadata and does not affect mapped controls.</x:t>
        </x:is>
      </x:c>
      <x:c r="J18" s="3" t="inlineStr">
        <x:is>
          <x:t xml:space="preserve">Review framework update</x:t>
        </x:is>
      </x:c>
      <x:c r="K18" s="3" t="inlineStr">
        <x:is>
          <x:t xml:space="preserve">PCI DSS rule updates may impact 6 controls</x:t>
        </x:is>
      </x:c>
      <x:c r="L18" s="3" t="inlineStr">
        <x:is>
          <x:t xml:space="preserve">AI found six enabled controls that could require updated evidence or policy language. Review the impacted controls before the next audit cycle.</x:t>
        </x:is>
      </x:c>
      <x:c r="M18" s="3" t="inlineStr">
        <x:is>
          <x:t xml:space="preserve">Per framework update</x:t>
        </x:is>
      </x:c>
      <x:c r="N18" s="3" t="inlineStr">
        <x:is>
          <x:t xml:space="preserve">High</x:t>
        </x:is>
      </x:c>
      <x:c r="O18" s="5" t="n">
        <x:v>4</x:v>
      </x:c>
      <x:c r="P18" s="5" t="n">
        <x:v>4</x:v>
      </x:c>
      <x:c r="Q18" s="5" t="n">
        <x:v>4</x:v>
      </x:c>
      <x:c r="R18" s="6">
        <x:f>O18*2+P18*2+Q18</x:f>
        <x:v>20</x:v>
      </x:c>
      <x:c r="S18" s="7" t="str">
        <x:f>IF(R18&gt;=22,"Critical",IF(R18&gt;=18,"High",IF(R18&gt;=12,"Medium","Low")))</x:f>
        <x:v>High</x:v>
      </x:c>
      <x:c r="T18" s="7" t="str">
        <x:f>IF(N18=S18,"Yes","Review")</x:f>
        <x:v>Yes</x:v>
      </x:c>
      <x:c r="U18" s="6">
        <x:f>IF(S18="Critical",4,IF(S18="High",24,IF(S18="Medium",72,168)))</x:f>
        <x:v>24</x:v>
      </x:c>
      <x:c r="V18" s="3" t="inlineStr">
        <x:is>
          <x:t xml:space="preserve">Compliance Ops</x:t>
        </x:is>
      </x:c>
      <x:c r="W18" s="3" t="inlineStr">
        <x:is>
          <x:t xml:space="preserve">Future</x:t>
        </x:is>
      </x:c>
      <x:c r="X18" s="7">
        <x:f>IF(ISNUMBER(SEARCH("In-app",F18)),1,0)</x:f>
        <x:v>1</x:v>
      </x:c>
      <x:c r="Y18" s="7">
        <x:f>IF(ISNUMBER(SEARCH("Email",F18)),1,0)</x:f>
        <x:v>1</x:v>
      </x:c>
      <x:c r="Z18" s="7">
        <x:f>IF(ISNUMBER(SEARCH("Slack",F18)),1,0)</x:f>
        <x:v>0</x:v>
      </x:c>
    </x:row>
    <x:row r="19" ht="72" customHeight="1">
      <x:c r="A19" s="3" t="inlineStr">
        <x:is>
          <x:t xml:space="preserve">AI-018</x:t>
        </x:is>
      </x:c>
      <x:c r="B19" s="3" t="inlineStr">
        <x:is>
          <x:t xml:space="preserve">Vendor / Third Party</x:t>
        </x:is>
      </x:c>
      <x:c r="C19" s="3" t="inlineStr">
        <x:is>
          <x:t xml:space="preserve">Missing vendor security evidence</x:t>
        </x:is>
      </x:c>
      <x:c r="D19" s="3" t="inlineStr">
        <x:is>
          <x:t xml:space="preserve">AI Analysis → Risk Review</x:t>
        </x:is>
      </x:c>
      <x:c r="E19" s="3" t="inlineStr">
        <x:is>
          <x:t xml:space="preserve">Owner, Admin, Analyst</x:t>
        </x:is>
      </x:c>
      <x:c r="F19" s="3" t="inlineStr">
        <x:is>
          <x:t xml:space="preserve">In-app, Email digest</x:t>
        </x:is>
      </x:c>
      <x:c r="G19" s="3" t="inlineStr">
        <x:is>
          <x:t xml:space="preserve">AI detects a vendor-related control without supporting contract, questionnaire, or security documentation.</x:t>
        </x:is>
      </x:c>
      <x:c r="H19" s="3" t="inlineStr">
        <x:is>
          <x:t xml:space="preserve">Identify the vendor gap and recommend the exact type of evidence to request.</x:t>
        </x:is>
      </x:c>
      <x:c r="I19" s="3" t="inlineStr">
        <x:is>
          <x:t xml:space="preserve">Escalate only for high-risk vendors or controls mapped to active frameworks.</x:t>
        </x:is>
      </x:c>
      <x:c r="J19" s="3" t="inlineStr">
        <x:is>
          <x:t xml:space="preserve">Request vendor evidence</x:t>
        </x:is>
      </x:c>
      <x:c r="K19" s="3" t="inlineStr">
        <x:is>
          <x:t xml:space="preserve">Vendor security evidence missing for payment processor</x:t>
        </x:is>
      </x:c>
      <x:c r="L19" s="3" t="inlineStr">
        <x:is>
          <x:t xml:space="preserve">AI could not find a current questionnaire or contract evidence for a high-impact vendor. Request updated security documentation before the next audit review.</x:t>
        </x:is>
      </x:c>
      <x:c r="M19" s="3" t="inlineStr">
        <x:is>
          <x:t xml:space="preserve">Weekly digest or per critical vendor</x:t>
        </x:is>
      </x:c>
      <x:c r="N19" s="3" t="inlineStr">
        <x:is>
          <x:t xml:space="preserve">High</x:t>
        </x:is>
      </x:c>
      <x:c r="O19" s="5" t="n">
        <x:v>4</x:v>
      </x:c>
      <x:c r="P19" s="5" t="n">
        <x:v>3</x:v>
      </x:c>
      <x:c r="Q19" s="5" t="n">
        <x:v>4</x:v>
      </x:c>
      <x:c r="R19" s="6">
        <x:f>O19*2+P19*2+Q19</x:f>
        <x:v>18</x:v>
      </x:c>
      <x:c r="S19" s="7" t="str">
        <x:f>IF(R19&gt;=22,"Critical",IF(R19&gt;=18,"High",IF(R19&gt;=12,"Medium","Low")))</x:f>
        <x:v>High</x:v>
      </x:c>
      <x:c r="T19" s="7" t="str">
        <x:f>IF(N19=S19,"Yes","Review")</x:f>
        <x:v>Yes</x:v>
      </x:c>
      <x:c r="U19" s="6">
        <x:f>IF(S19="Critical",4,IF(S19="High",24,IF(S19="Medium",72,168)))</x:f>
        <x:v>24</x:v>
      </x:c>
      <x:c r="V19" s="3" t="inlineStr">
        <x:is>
          <x:t xml:space="preserve">Compliance Ops</x:t>
        </x:is>
      </x:c>
      <x:c r="W19" s="3" t="inlineStr">
        <x:is>
          <x:t xml:space="preserve">Future</x:t>
        </x:is>
      </x:c>
      <x:c r="X19" s="7">
        <x:f>IF(ISNUMBER(SEARCH("In-app",F19)),1,0)</x:f>
        <x:v>1</x:v>
      </x:c>
      <x:c r="Y19" s="7">
        <x:f>IF(ISNUMBER(SEARCH("Email",F19)),1,0)</x:f>
        <x:v>1</x:v>
      </x:c>
      <x:c r="Z19" s="7">
        <x:f>IF(ISNUMBER(SEARCH("Slack",F19)),1,0)</x:f>
        <x:v>0</x:v>
      </x:c>
    </x:row>
  </x:sheetData>
  <x:conditionalFormatting sqref="N2:N19">
    <x:cfRule type="cellIs" dxfId="0" priority="1" operator="equal">
      <x:formula>"Critical"</x:formula>
    </x:cfRule>
    <x:cfRule type="cellIs" dxfId="1" priority="2" operator="equal">
      <x:formula>"High"</x:formula>
    </x:cfRule>
    <x:cfRule type="cellIs" dxfId="2" priority="3" operator="equal">
      <x:formula>"Medium"</x:formula>
    </x:cfRule>
    <x:cfRule type="cellIs" dxfId="3" priority="4" operator="equal">
      <x:formula>"Low"</x:formula>
    </x:cfRule>
  </x:conditionalFormatting>
  <x:conditionalFormatting sqref="S2:S19">
    <x:cfRule type="cellIs" dxfId="0" priority="5" operator="equal">
      <x:formula>"Critical"</x:formula>
    </x:cfRule>
    <x:cfRule type="cellIs" dxfId="1" priority="6" operator="equal">
      <x:formula>"High"</x:formula>
    </x:cfRule>
    <x:cfRule type="cellIs" dxfId="2" priority="7" operator="equal">
      <x:formula>"Medium"</x:formula>
    </x:cfRule>
    <x:cfRule type="cellIs" dxfId="3" priority="8" operator="equal">
      <x:formula>"Low"</x:formula>
    </x:cfRule>
  </x:conditionalFormatting>
  <x:conditionalFormatting sqref="T2:T19">
    <x:cfRule type="cellIs" dxfId="4" priority="9" operator="equal">
      <x:formula>"Review"</x:formula>
    </x:cfRule>
    <x:cfRule type="cellIs" dxfId="5" priority="10" operator="equal">
      <x:formula>"Yes"</x:formula>
    </x:cfRule>
  </x:conditionalFormatting>
  <x:pageMargins left="0.7" right="0.7" top="0.75" bottom="0.75" header="0.3" footer="0.3"/>
  <x:legacyDrawing xmlns:r="http://schemas.openxmlformats.org/officeDocument/2006/relationships" r:id="R67e8f44a51424f05"/>
  <x:tableParts count="1">
    <x:tablePart xmlns:r="http://schemas.openxmlformats.org/officeDocument/2006/relationships" r:id="R07ca1f585f0e45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4" customWidth="1"/>
    <x:col min="4" max="4" width="24" customWidth="1"/>
    <x:col min="5" max="5" width="14" customWidth="1"/>
  </x:cols>
  <x:sheetData>
    <x:row r="1">
      <x:c r="A1" s="8" t="inlineStr">
        <x:is>
          <x:t xml:space="preserve">Notification Portfolio Summary</x:t>
        </x:is>
      </x:c>
    </x:row>
    <x:row r="3">
      <x:c r="A3" s="9" t="inlineStr">
        <x:is>
          <x:t xml:space="preserve">Total notifications</x:t>
        </x:is>
      </x:c>
      <x:c r="B3" s="3">
        <x:f>COUNTA('Notification Catalog'!$A$2:$A$19)</x:f>
        <x:v>18</x:v>
      </x:c>
      <x:c r="D3" s="9" t="inlineStr">
        <x:is>
          <x:t xml:space="preserve">By channel</x:t>
        </x:is>
      </x:c>
    </x:row>
    <x:row r="4">
      <x:c r="A4" s="3" t="inlineStr">
        <x:is>
          <x:t xml:space="preserve">MVP notifications</x:t>
        </x:is>
      </x:c>
      <x:c r="B4" s="3">
        <x:f>COUNTIF('Notification Catalog'!$W$2:$W$19,"MVP")</x:f>
        <x:v>15</x:v>
      </x:c>
      <x:c r="D4" s="3" t="inlineStr">
        <x:is>
          <x:t xml:space="preserve">In-app</x:t>
        </x:is>
      </x:c>
      <x:c r="E4" s="3">
        <x:f>SUM('Notification Catalog'!$X$2:$X$19)</x:f>
        <x:v>18</x:v>
      </x:c>
    </x:row>
    <x:row r="5">
      <x:c r="A5" s="3" t="inlineStr">
        <x:is>
          <x:t xml:space="preserve">Future notifications</x:t>
        </x:is>
      </x:c>
      <x:c r="B5" s="3">
        <x:f>COUNTIF('Notification Catalog'!$W$2:$W$19,"Future")</x:f>
        <x:v>3</x:v>
      </x:c>
      <x:c r="D5" s="3" t="inlineStr">
        <x:is>
          <x:t xml:space="preserve">Email</x:t>
        </x:is>
      </x:c>
      <x:c r="E5" s="3">
        <x:f>SUM('Notification Catalog'!$Y$2:$Y$19)</x:f>
        <x:v>16</x:v>
      </x:c>
    </x:row>
    <x:row r="6">
      <x:c r="A6" s="3" t="inlineStr">
        <x:is>
          <x:t xml:space="preserve">Needs priority review</x:t>
        </x:is>
      </x:c>
      <x:c r="B6" s="3">
        <x:f>COUNTIF('Notification Catalog'!$T$2:$T$19,"Review")</x:f>
        <x:v>3</x:v>
      </x:c>
      <x:c r="D6" s="3" t="inlineStr">
        <x:is>
          <x:t xml:space="preserve">Slack</x:t>
        </x:is>
      </x:c>
      <x:c r="E6" s="3">
        <x:f>SUM('Notification Catalog'!$Z$2:$Z$19)</x:f>
        <x:v>1</x:v>
      </x:c>
    </x:row>
    <x:row r="8">
      <x:c r="A8" s="9" t="inlineStr">
        <x:is>
          <x:t xml:space="preserve">By priority</x:t>
        </x:is>
      </x:c>
    </x:row>
    <x:row r="9">
      <x:c r="A9" s="3" t="inlineStr">
        <x:is>
          <x:t xml:space="preserve">Critical</x:t>
        </x:is>
      </x:c>
      <x:c r="B9" s="3">
        <x:f>COUNTIF('Notification Catalog'!$N$2:$N$19,"Critical")</x:f>
        <x:v>2</x:v>
      </x:c>
      <x:c r="D9" s="9" t="inlineStr">
        <x:is>
          <x:t xml:space="preserve">By category</x:t>
        </x:is>
      </x:c>
    </x:row>
    <x:row r="10">
      <x:c r="A10" s="3" t="inlineStr">
        <x:is>
          <x:t xml:space="preserve">High</x:t>
        </x:is>
      </x:c>
      <x:c r="B10" s="3">
        <x:f>COUNTIF('Notification Catalog'!$N$2:$N$19,"High")</x:f>
        <x:v>8</x:v>
      </x:c>
      <x:c r="D10" s="3" t="inlineStr">
        <x:is>
          <x:t xml:space="preserve">Adoption</x:t>
        </x:is>
      </x:c>
      <x:c r="E10" s="3">
        <x:f>COUNTIF('Notification Catalog'!$B$2:$B$19,"Adoption")</x:f>
        <x:v>1</x:v>
      </x:c>
    </x:row>
    <x:row r="11">
      <x:c r="A11" s="3" t="inlineStr">
        <x:is>
          <x:t xml:space="preserve">Medium</x:t>
        </x:is>
      </x:c>
      <x:c r="B11" s="3">
        <x:f>COUNTIF('Notification Catalog'!$N$2:$N$19,"Medium")</x:f>
        <x:v>6</x:v>
      </x:c>
      <x:c r="D11" s="3" t="inlineStr">
        <x:is>
          <x:t xml:space="preserve">Analysis</x:t>
        </x:is>
      </x:c>
      <x:c r="E11" s="3">
        <x:f>COUNTIF('Notification Catalog'!$B$2:$B$19,"Analysis")</x:f>
        <x:v>2</x:v>
      </x:c>
    </x:row>
    <x:row r="12">
      <x:c r="A12" s="3" t="inlineStr">
        <x:is>
          <x:t xml:space="preserve">Low</x:t>
        </x:is>
      </x:c>
      <x:c r="B12" s="3">
        <x:f>COUNTIF('Notification Catalog'!$N$2:$N$19,"Low")</x:f>
        <x:v>2</x:v>
      </x:c>
      <x:c r="D12" s="3" t="inlineStr">
        <x:is>
          <x:t xml:space="preserve">Auditor Access</x:t>
        </x:is>
      </x:c>
      <x:c r="E12" s="3">
        <x:f>COUNTIF('Notification Catalog'!$B$2:$B$19,"Auditor Access")</x:f>
        <x:v>1</x:v>
      </x:c>
    </x:row>
    <x:row r="13">
      <x:c r="D13" s="3" t="inlineStr">
        <x:is>
          <x:t xml:space="preserve">Evidence</x:t>
        </x:is>
      </x:c>
      <x:c r="E13" s="3">
        <x:f>COUNTIF('Notification Catalog'!$B$2:$B$19,"Evidence")</x:f>
        <x:v>4</x:v>
      </x:c>
    </x:row>
    <x:row r="14">
      <x:c r="D14" s="3" t="inlineStr">
        <x:is>
          <x:t xml:space="preserve">Framework Update</x:t>
        </x:is>
      </x:c>
      <x:c r="E14" s="3">
        <x:f>COUNTIF('Notification Catalog'!$B$2:$B$19,"Framework Update")</x:f>
        <x:v>1</x:v>
      </x:c>
    </x:row>
    <x:row r="15">
      <x:c r="D15" s="3" t="inlineStr">
        <x:is>
          <x:t xml:space="preserve">Progress</x:t>
        </x:is>
      </x:c>
      <x:c r="E15" s="3">
        <x:f>COUNTIF('Notification Catalog'!$B$2:$B$19,"Progress")</x:f>
        <x:v>1</x:v>
      </x:c>
    </x:row>
    <x:row r="16">
      <x:c r="D16" s="3" t="inlineStr">
        <x:is>
          <x:t xml:space="preserve">Remediation</x:t>
        </x:is>
      </x:c>
      <x:c r="E16" s="3">
        <x:f>COUNTIF('Notification Catalog'!$B$2:$B$19,"Remediation")</x:f>
        <x:v>3</x:v>
      </x:c>
    </x:row>
    <x:row r="17">
      <x:c r="D17" s="3" t="inlineStr">
        <x:is>
          <x:t xml:space="preserve">Reporting</x:t>
        </x:is>
      </x:c>
      <x:c r="E17" s="3">
        <x:f>COUNTIF('Notification Catalog'!$B$2:$B$19,"Reporting")</x:f>
        <x:v>1</x:v>
      </x:c>
    </x:row>
    <x:row r="18">
      <x:c r="D18" s="3" t="inlineStr">
        <x:is>
          <x:t xml:space="preserve">Risk</x:t>
        </x:is>
      </x:c>
      <x:c r="E18" s="3">
        <x:f>COUNTIF('Notification Catalog'!$B$2:$B$19,"Risk")</x:f>
        <x:v>2</x:v>
      </x:c>
    </x:row>
    <x:row r="19">
      <x:c r="D19" s="3" t="inlineStr">
        <x:is>
          <x:t xml:space="preserve">Score</x:t>
        </x:is>
      </x:c>
      <x:c r="E19" s="3">
        <x:f>COUNTIF('Notification Catalog'!$B$2:$B$19,"Score")</x:f>
        <x:v>1</x:v>
      </x:c>
    </x:row>
    <x:row r="20">
      <x:c r="D20" s="3" t="inlineStr">
        <x:is>
          <x:t xml:space="preserve">Vendor / Third Party</x:t>
        </x:is>
      </x:c>
      <x:c r="E20" s="3">
        <x:f>COUNTIF('Notification Catalog'!$B$2:$B$19,"Vendor / Third Party")</x:f>
        <x:v>1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20" customWidth="1"/>
    <x:col min="3" max="3" width="12" customWidth="1"/>
    <x:col min="4" max="4" width="18" customWidth="1"/>
    <x:col min="5" max="5" width="28" customWidth="1"/>
    <x:col min="6" max="6" width="56" customWidth="1"/>
    <x:col min="7" max="7" width="20" customWidth="1"/>
    <x:col min="8" max="8" width="38" customWidth="1"/>
    <x:col min="9" max="9" width="30" customWidth="1"/>
  </x:cols>
  <x:sheetData>
    <x:row r="1">
      <x:c r="A1" s="10" t="inlineStr">
        <x:is>
          <x:t xml:space="preserve">Template ID</x:t>
        </x:is>
      </x:c>
      <x:c r="B1" s="9" t="inlineStr">
        <x:is>
          <x:t xml:space="preserve">Notification Category</x:t>
        </x:is>
      </x:c>
      <x:c r="C1" s="9" t="inlineStr">
        <x:is>
          <x:t xml:space="preserve">Channel</x:t>
        </x:is>
      </x:c>
      <x:c r="D1" s="9" t="inlineStr">
        <x:is>
          <x:t xml:space="preserve">Tone</x:t>
        </x:is>
      </x:c>
      <x:c r="E1" s="9" t="inlineStr">
        <x:is>
          <x:t xml:space="preserve">Subject / Title</x:t>
        </x:is>
      </x:c>
      <x:c r="F1" s="9" t="inlineStr">
        <x:is>
          <x:t xml:space="preserve">Body</x:t>
        </x:is>
      </x:c>
      <x:c r="G1" s="9" t="inlineStr">
        <x:is>
          <x:t xml:space="preserve">Default CTA</x:t>
        </x:is>
      </x:c>
      <x:c r="H1" s="9" t="inlineStr">
        <x:is>
          <x:t xml:space="preserve">Personalization Tokens</x:t>
        </x:is>
      </x:c>
      <x:c r="I1" s="9" t="inlineStr">
        <x:is>
          <x:t xml:space="preserve">Usage Notes</x:t>
        </x:is>
      </x:c>
    </x:row>
    <x:row r="2" ht="48" customHeight="1">
      <x:c r="A2" s="3" t="inlineStr">
        <x:is>
          <x:t xml:space="preserve">TPL-001</x:t>
        </x:is>
      </x:c>
      <x:c r="B2" s="3" t="inlineStr">
        <x:is>
          <x:t xml:space="preserve">Risk</x:t>
        </x:is>
      </x:c>
      <x:c r="C2" s="3" t="inlineStr">
        <x:is>
          <x:t xml:space="preserve">Email</x:t>
        </x:is>
      </x:c>
      <x:c r="D2" s="3" t="inlineStr">
        <x:is>
          <x:t xml:space="preserve">Direct / urgent</x:t>
        </x:is>
      </x:c>
      <x:c r="E2" s="3" t="inlineStr">
        <x:is>
          <x:t xml:space="preserve">Critical compliance gap detected</x:t>
        </x:is>
      </x:c>
      <x:c r="F2" s="3" t="inlineStr">
        <x:is>
          <x:t xml:space="preserve">AI found a high-impact control gap that could materially affect audit readiness. Review the finding details, owner, and recommended remediation steps now.</x:t>
        </x:is>
      </x:c>
      <x:c r="G2" s="3" t="inlineStr">
        <x:is>
          <x:t xml:space="preserve">Open critical finding</x:t>
        </x:is>
      </x:c>
      <x:c r="H2" s="3" t="inlineStr">
        <x:is>
          <x:t xml:space="preserve">{{org_name}}, {{framework}}, {{control_title}}, {{severity}}</x:t>
        </x:is>
      </x:c>
      <x:c r="I2" s="3" t="inlineStr">
        <x:is>
          <x:t xml:space="preserve">Use for critical and high-severity events.</x:t>
        </x:is>
      </x:c>
    </x:row>
    <x:row r="3" ht="48" customHeight="1">
      <x:c r="A3" s="3" t="inlineStr">
        <x:is>
          <x:t xml:space="preserve">TPL-002</x:t>
        </x:is>
      </x:c>
      <x:c r="B3" s="3" t="inlineStr">
        <x:is>
          <x:t xml:space="preserve">Evidence</x:t>
        </x:is>
      </x:c>
      <x:c r="C3" s="3" t="inlineStr">
        <x:is>
          <x:t xml:space="preserve">In-app</x:t>
        </x:is>
      </x:c>
      <x:c r="D3" s="3" t="inlineStr">
        <x:is>
          <x:t xml:space="preserve">Action-oriented</x:t>
        </x:is>
      </x:c>
      <x:c r="E3" s="3" t="inlineStr">
        <x:is>
          <x:t xml:space="preserve">Evidence expires soon</x:t>
        </x:is>
      </x:c>
      <x:c r="F3" s="3" t="inlineStr">
        <x:is>
          <x:t xml:space="preserve">This evidence supports active controls and will expire soon. Replace or refresh it to avoid a drop in control coverage.</x:t>
        </x:is>
      </x:c>
      <x:c r="G3" s="3" t="inlineStr">
        <x:is>
          <x:t xml:space="preserve">Refresh evidence</x:t>
        </x:is>
      </x:c>
      <x:c r="H3" s="3" t="inlineStr">
        <x:is>
          <x:t xml:space="preserve">{{doc_name}}, {{days_left}}, {{framework}}</x:t>
        </x:is>
      </x:c>
      <x:c r="I3" s="3" t="inlineStr">
        <x:is>
          <x:t xml:space="preserve">Best for 7-day and 30-day expiry reminders.</x:t>
        </x:is>
      </x:c>
    </x:row>
    <x:row r="4" ht="48" customHeight="1">
      <x:c r="A4" s="3" t="inlineStr">
        <x:is>
          <x:t xml:space="preserve">TPL-003</x:t>
        </x:is>
      </x:c>
      <x:c r="B4" s="3" t="inlineStr">
        <x:is>
          <x:t xml:space="preserve">Remediation</x:t>
        </x:is>
      </x:c>
      <x:c r="C4" s="3" t="inlineStr">
        <x:is>
          <x:t xml:space="preserve">Email</x:t>
        </x:is>
      </x:c>
      <x:c r="D4" s="3" t="inlineStr">
        <x:is>
          <x:t xml:space="preserve">Accountable</x:t>
        </x:is>
      </x:c>
      <x:c r="E4" s="3" t="inlineStr">
        <x:is>
          <x:t xml:space="preserve">Task due soon</x:t>
        </x:is>
      </x:c>
      <x:c r="F4" s="3" t="inlineStr">
        <x:is>
          <x:t xml:space="preserve">Your remediation task is approaching its deadline. AI recommends the fastest next proof artifact to move this finding into review.</x:t>
        </x:is>
      </x:c>
      <x:c r="G4" s="3" t="inlineStr">
        <x:is>
          <x:t xml:space="preserve">Update task</x:t>
        </x:is>
      </x:c>
      <x:c r="H4" s="3" t="inlineStr">
        <x:is>
          <x:t xml:space="preserve">{{task_name}}, {{due_date}}, {{finding_title}}</x:t>
        </x:is>
      </x:c>
      <x:c r="I4" s="3" t="inlineStr">
        <x:is>
          <x:t xml:space="preserve">Send daily only when meaningful progress is absent.</x:t>
        </x:is>
      </x:c>
    </x:row>
    <x:row r="5" ht="48" customHeight="1">
      <x:c r="A5" s="3" t="inlineStr">
        <x:is>
          <x:t xml:space="preserve">TPL-004</x:t>
        </x:is>
      </x:c>
      <x:c r="B5" s="3" t="inlineStr">
        <x:is>
          <x:t xml:space="preserve">Score</x:t>
        </x:is>
      </x:c>
      <x:c r="C5" s="3" t="inlineStr">
        <x:is>
          <x:t xml:space="preserve">Email</x:t>
        </x:is>
      </x:c>
      <x:c r="D5" s="3" t="inlineStr">
        <x:is>
          <x:t xml:space="preserve">Executive</x:t>
        </x:is>
      </x:c>
      <x:c r="E5" s="3" t="inlineStr">
        <x:is>
          <x:t xml:space="preserve">Compliance score dropped</x:t>
        </x:is>
      </x:c>
      <x:c r="F5" s="3" t="inlineStr">
        <x:is>
          <x:t xml:space="preserve">Your compliance score declined. AI identified the likely drivers and the fewest actions needed to recover the lost score.</x:t>
        </x:is>
      </x:c>
      <x:c r="G5" s="3" t="inlineStr">
        <x:is>
          <x:t xml:space="preserve">Review score drivers</x:t>
        </x:is>
      </x:c>
      <x:c r="H5" s="3" t="inlineStr">
        <x:is>
          <x:t xml:space="preserve">{{org_name}}, {{score_delta}}, {{framework}}</x:t>
        </x:is>
      </x:c>
      <x:c r="I5" s="3" t="inlineStr">
        <x:is>
          <x:t xml:space="preserve">Best for owner/admin stakeholders.</x:t>
        </x:is>
      </x:c>
    </x:row>
    <x:row r="6" ht="48" customHeight="1">
      <x:c r="A6" s="3" t="inlineStr">
        <x:is>
          <x:t xml:space="preserve">TPL-005</x:t>
        </x:is>
      </x:c>
      <x:c r="B6" s="3" t="inlineStr">
        <x:is>
          <x:t xml:space="preserve">Reporting</x:t>
        </x:is>
      </x:c>
      <x:c r="C6" s="3" t="inlineStr">
        <x:is>
          <x:t xml:space="preserve">In-app</x:t>
        </x:is>
      </x:c>
      <x:c r="D6" s="3" t="inlineStr">
        <x:is>
          <x:t xml:space="preserve">Informative</x:t>
        </x:is>
      </x:c>
      <x:c r="E6" s="3" t="inlineStr">
        <x:is>
          <x:t xml:space="preserve">Report ready</x:t>
        </x:is>
      </x:c>
      <x:c r="F6" s="3" t="inlineStr">
        <x:is>
          <x:t xml:space="preserve">Your requested report is complete. Review the summary and validate high-risk items before sharing externally.</x:t>
        </x:is>
      </x:c>
      <x:c r="G6" s="3" t="inlineStr">
        <x:is>
          <x:t xml:space="preserve">Open report</x:t>
        </x:is>
      </x:c>
      <x:c r="H6" s="3" t="inlineStr">
        <x:is>
          <x:t xml:space="preserve">{{report_name}}, {{generated_at}}</x:t>
        </x:is>
      </x:c>
      <x:c r="I6" s="3" t="inlineStr">
        <x:is>
          <x:t xml:space="preserve">Use when report generation completes.</x:t>
        </x:is>
      </x:c>
    </x:row>
    <x:row r="7" ht="48" customHeight="1">
      <x:c r="A7" s="3" t="inlineStr">
        <x:is>
          <x:t xml:space="preserve">TPL-006</x:t>
        </x:is>
      </x:c>
      <x:c r="B7" s="3" t="inlineStr">
        <x:is>
          <x:t xml:space="preserve">Adoption</x:t>
        </x:is>
      </x:c>
      <x:c r="C7" s="3" t="inlineStr">
        <x:is>
          <x:t xml:space="preserve">Email</x:t>
        </x:is>
      </x:c>
      <x:c r="D7" s="3" t="inlineStr">
        <x:is>
          <x:t xml:space="preserve">Coaching</x:t>
        </x:is>
      </x:c>
      <x:c r="E7" s="3" t="inlineStr">
        <x:is>
          <x:t xml:space="preserve">Compliance program appears stalled</x:t>
        </x:is>
      </x:c>
      <x:c r="F7" s="3" t="inlineStr">
        <x:is>
          <x:t xml:space="preserve">There has been little recent activity while open findings remain. AI suggests a simple restart action to regain momentum.</x:t>
        </x:is>
      </x:c>
      <x:c r="G7" s="3" t="inlineStr">
        <x:is>
          <x:t xml:space="preserve">Resume work</x:t>
        </x:is>
      </x:c>
      <x:c r="H7" s="3" t="inlineStr">
        <x:is>
          <x:t xml:space="preserve">{{open_findings}}, {{recommended_action}}</x:t>
        </x:is>
      </x:c>
      <x:c r="I7" s="3" t="inlineStr">
        <x:is>
          <x:t xml:space="preserve">Use sparingly; weekly at most.</x:t>
        </x:is>
      </x:c>
    </x:row>
    <x:row r="8" ht="48" customHeight="1">
      <x:c r="A8" s="3" t="inlineStr">
        <x:is>
          <x:t xml:space="preserve">TPL-007</x:t>
        </x:is>
      </x:c>
      <x:c r="B8" s="3" t="inlineStr">
        <x:is>
          <x:t xml:space="preserve">Auditor Access</x:t>
        </x:is>
      </x:c>
      <x:c r="C8" s="3" t="inlineStr">
        <x:is>
          <x:t xml:space="preserve">Email</x:t>
        </x:is>
      </x:c>
      <x:c r="D8" s="3" t="inlineStr">
        <x:is>
          <x:t xml:space="preserve">Professional</x:t>
        </x:is>
      </x:c>
      <x:c r="E8" s="3" t="inlineStr">
        <x:is>
          <x:t xml:space="preserve">Auditor access expires soon</x:t>
        </x:is>
      </x:c>
      <x:c r="F8" s="3" t="inlineStr">
        <x:is>
          <x:t xml:space="preserve">An external auditor link is about to expire. Extend access only if the review is still active.</x:t>
        </x:is>
      </x:c>
      <x:c r="G8" s="3" t="inlineStr">
        <x:is>
          <x:t xml:space="preserve">Manage auditor access</x:t>
        </x:is>
      </x:c>
      <x:c r="H8" s="3" t="inlineStr">
        <x:is>
          <x:t xml:space="preserve">{{report_name}}, {{expires_at}}</x:t>
        </x:is>
      </x:c>
      <x:c r="I8" s="3" t="inlineStr">
        <x:is>
          <x:t xml:space="preserve">Avoid sending if the link was never used.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7723a18b0a2a4e95"/>
  </x:tableParts>
</x:worksheet>
</file>