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48c9dacf83dfef1/Desktop/Evolve Edge/"/>
    </mc:Choice>
  </mc:AlternateContent>
  <xr:revisionPtr revIDLastSave="0" documentId="8_{2C9F6470-4084-4F19-95C3-BB12F96D8DD6}" xr6:coauthVersionLast="47" xr6:coauthVersionMax="47" xr10:uidLastSave="{00000000-0000-0000-0000-000000000000}"/>
  <bookViews>
    <workbookView xWindow="5760" yWindow="2712" windowWidth="17280" windowHeight="9960" activeTab="1" xr2:uid="{00000000-000D-0000-FFFF-FFFF00000000}"/>
  </bookViews>
  <sheets>
    <sheet name="Read Me" sheetId="1" r:id="rId1"/>
    <sheet name="Notification Catalog" sheetId="2" r:id="rId2"/>
    <sheet name="Summary" sheetId="3" r:id="rId3"/>
    <sheet name="Message Templat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19" i="3"/>
  <c r="E18" i="3"/>
  <c r="E17" i="3"/>
  <c r="E16" i="3"/>
  <c r="E15" i="3"/>
  <c r="E14" i="3"/>
  <c r="E13" i="3"/>
  <c r="E12" i="3"/>
  <c r="B12" i="3"/>
  <c r="E11" i="3"/>
  <c r="B11" i="3"/>
  <c r="E10" i="3"/>
  <c r="B10" i="3"/>
  <c r="B9" i="3"/>
  <c r="E6" i="3"/>
  <c r="E5" i="3"/>
  <c r="B5" i="3"/>
  <c r="E4" i="3"/>
  <c r="B4" i="3"/>
  <c r="B3" i="3"/>
  <c r="Z19" i="2"/>
  <c r="Y19" i="2"/>
  <c r="X19" i="2"/>
  <c r="R19" i="2"/>
  <c r="S19" i="2" s="1"/>
  <c r="Z18" i="2"/>
  <c r="Y18" i="2"/>
  <c r="X18" i="2"/>
  <c r="R18" i="2"/>
  <c r="S18" i="2" s="1"/>
  <c r="Z17" i="2"/>
  <c r="Y17" i="2"/>
  <c r="X17" i="2"/>
  <c r="R17" i="2"/>
  <c r="S17" i="2" s="1"/>
  <c r="Z16" i="2"/>
  <c r="Y16" i="2"/>
  <c r="X16" i="2"/>
  <c r="R16" i="2"/>
  <c r="S16" i="2" s="1"/>
  <c r="Z15" i="2"/>
  <c r="Y15" i="2"/>
  <c r="X15" i="2"/>
  <c r="R15" i="2"/>
  <c r="S15" i="2" s="1"/>
  <c r="Z14" i="2"/>
  <c r="Y14" i="2"/>
  <c r="X14" i="2"/>
  <c r="R14" i="2"/>
  <c r="S14" i="2" s="1"/>
  <c r="Z13" i="2"/>
  <c r="Y13" i="2"/>
  <c r="X13" i="2"/>
  <c r="R13" i="2"/>
  <c r="S13" i="2" s="1"/>
  <c r="Z12" i="2"/>
  <c r="Y12" i="2"/>
  <c r="X12" i="2"/>
  <c r="R12" i="2"/>
  <c r="S12" i="2" s="1"/>
  <c r="Z11" i="2"/>
  <c r="Y11" i="2"/>
  <c r="X11" i="2"/>
  <c r="R11" i="2"/>
  <c r="S11" i="2" s="1"/>
  <c r="Z10" i="2"/>
  <c r="Y10" i="2"/>
  <c r="X10" i="2"/>
  <c r="R10" i="2"/>
  <c r="S10" i="2" s="1"/>
  <c r="Z9" i="2"/>
  <c r="Y9" i="2"/>
  <c r="X9" i="2"/>
  <c r="R9" i="2"/>
  <c r="S9" i="2" s="1"/>
  <c r="Z8" i="2"/>
  <c r="Y8" i="2"/>
  <c r="X8" i="2"/>
  <c r="R8" i="2"/>
  <c r="S8" i="2" s="1"/>
  <c r="Z7" i="2"/>
  <c r="Y7" i="2"/>
  <c r="X7" i="2"/>
  <c r="R7" i="2"/>
  <c r="S7" i="2" s="1"/>
  <c r="Z6" i="2"/>
  <c r="Y6" i="2"/>
  <c r="X6" i="2"/>
  <c r="R6" i="2"/>
  <c r="S6" i="2" s="1"/>
  <c r="Z5" i="2"/>
  <c r="Y5" i="2"/>
  <c r="X5" i="2"/>
  <c r="R5" i="2"/>
  <c r="S5" i="2" s="1"/>
  <c r="Z4" i="2"/>
  <c r="Y4" i="2"/>
  <c r="X4" i="2"/>
  <c r="R4" i="2"/>
  <c r="S4" i="2" s="1"/>
  <c r="Z3" i="2"/>
  <c r="Y3" i="2"/>
  <c r="X3" i="2"/>
  <c r="R3" i="2"/>
  <c r="S3" i="2" s="1"/>
  <c r="Z2" i="2"/>
  <c r="Y2" i="2"/>
  <c r="X2" i="2"/>
  <c r="R2" i="2"/>
  <c r="S2" i="2" s="1"/>
  <c r="T19" i="2" l="1"/>
  <c r="U19" i="2"/>
  <c r="T18" i="2"/>
  <c r="U18" i="2"/>
  <c r="U17" i="2"/>
  <c r="T17" i="2"/>
  <c r="T16" i="2"/>
  <c r="U16" i="2"/>
  <c r="T15" i="2"/>
  <c r="U15" i="2"/>
  <c r="U14" i="2"/>
  <c r="T14" i="2"/>
  <c r="T13" i="2"/>
  <c r="U13" i="2"/>
  <c r="T12" i="2"/>
  <c r="U12" i="2"/>
  <c r="T11" i="2"/>
  <c r="U11" i="2"/>
  <c r="T10" i="2"/>
  <c r="U10" i="2"/>
  <c r="T9" i="2"/>
  <c r="U9" i="2"/>
  <c r="U8" i="2"/>
  <c r="T8" i="2"/>
  <c r="T7" i="2"/>
  <c r="U7" i="2"/>
  <c r="T6" i="2"/>
  <c r="U6" i="2"/>
  <c r="T5" i="2"/>
  <c r="U5" i="2"/>
  <c r="T4" i="2"/>
  <c r="U4" i="2"/>
  <c r="T3" i="2"/>
  <c r="U3" i="2"/>
  <c r="T2" i="2"/>
  <c r="U2" i="2"/>
  <c r="B6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Tailored catalog of Evolve Edge AI notifications, optimized for compliance workflows and product planning.</t>
        </r>
      </text>
    </comment>
    <comment ref="R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AI Score formula = Impact*2 + Urgency*2 + Confidence. Used to validate the manual priority assignment.</t>
        </r>
      </text>
    </comment>
  </commentList>
</comments>
</file>

<file path=xl/sharedStrings.xml><?xml version="1.0" encoding="utf-8"?>
<sst xmlns="http://schemas.openxmlformats.org/spreadsheetml/2006/main" count="425" uniqueCount="301">
  <si>
    <t>Evolve Edge AI Notifications</t>
  </si>
  <si>
    <t>Purpose</t>
  </si>
  <si>
    <t>This workbook defines tailored AI-powered notifications for Evolve Edge across analysis, risk, evidence, remediation, reporting, and auditor workflows.</t>
  </si>
  <si>
    <t>How to use</t>
  </si>
  <si>
    <t>Use the Notification Catalog tab as the source of truth for PM, design, engineering, and compliance operations.</t>
  </si>
  <si>
    <t>Scoring model</t>
  </si>
  <si>
    <t>Impact and Urgency are weighted 2x; Confidence is weighted 1x. Suggested Band is formula-driven and flags rows that may need manual review.</t>
  </si>
  <si>
    <t>MVP guidance</t>
  </si>
  <si>
    <t>Rows marked MVP are suitable for the first release. Future rows can be deferred until framework updates, Slack, or vendor workflows are implemented.</t>
  </si>
  <si>
    <t>Channel note</t>
  </si>
  <si>
    <t>In-app notifications should be default. Email should be used for high-signal or time-sensitive alerts. Slack is marked future where appropriate.</t>
  </si>
  <si>
    <t>Suppression principle</t>
  </si>
  <si>
    <t>Avoid spam by suppressing duplicate alerts, batching related findings, and suppressing notifications when the user is already in context.</t>
  </si>
  <si>
    <t>Notification ID</t>
  </si>
  <si>
    <t>Category</t>
  </si>
  <si>
    <t>Notification Name</t>
  </si>
  <si>
    <t>Journey Stage</t>
  </si>
  <si>
    <t>Audience</t>
  </si>
  <si>
    <t>Channel</t>
  </si>
  <si>
    <t>Event Trigger</t>
  </si>
  <si>
    <t>AI Behavior</t>
  </si>
  <si>
    <t>Smart Conditions</t>
  </si>
  <si>
    <t>CTA</t>
  </si>
  <si>
    <t>Example Title</t>
  </si>
  <si>
    <t>Example Body</t>
  </si>
  <si>
    <t>Frequency</t>
  </si>
  <si>
    <t>Manual Priority</t>
  </si>
  <si>
    <t>Impact</t>
  </si>
  <si>
    <t>Urgency</t>
  </si>
  <si>
    <t>Confidence</t>
  </si>
  <si>
    <t>AI Score</t>
  </si>
  <si>
    <t>Suggested Band</t>
  </si>
  <si>
    <t>Band Match?</t>
  </si>
  <si>
    <t>Target SLA (hrs)</t>
  </si>
  <si>
    <t>Owner</t>
  </si>
  <si>
    <t>Status</t>
  </si>
  <si>
    <t>In-app Flag</t>
  </si>
  <si>
    <t>Email Flag</t>
  </si>
  <si>
    <t>Slack Flag</t>
  </si>
  <si>
    <t>AI-001</t>
  </si>
  <si>
    <t>Analysis</t>
  </si>
  <si>
    <t>Compliance analysis complete</t>
  </si>
  <si>
    <t>Document Upload → AI Analysis</t>
  </si>
  <si>
    <t>Owner, Admin, Analyst</t>
  </si>
  <si>
    <t>In-app, Email</t>
  </si>
  <si>
    <t>A document or document bundle finishes AI compliance analysis successfully.</t>
  </si>
  <si>
    <t>Summarize top findings, affected frameworks, score change, and next best actions.</t>
  </si>
  <si>
    <t>Suppress if the user is actively viewing the completed job within 5 minutes.</t>
  </si>
  <si>
    <t>Review findings</t>
  </si>
  <si>
    <t>AI review finished: 5 findings across PCI DSS</t>
  </si>
  <si>
    <t>Your uploaded evidence was analyzed. 2 high-risk gaps and 3 medium-risk gaps were found. Recommended next step: review missing access-control evidence.</t>
  </si>
  <si>
    <t>Per job</t>
  </si>
  <si>
    <t>Medium</t>
  </si>
  <si>
    <t>Product + Compliance Ops</t>
  </si>
  <si>
    <t>MVP</t>
  </si>
  <si>
    <t>AI-002</t>
  </si>
  <si>
    <t>Compliance analysis failed</t>
  </si>
  <si>
    <t>AI parsing or control-mapping fails for an uploaded file.</t>
  </si>
  <si>
    <t>Explain likely failure reason, identify file, and suggest the fastest recovery path.</t>
  </si>
  <si>
    <t>Suppress duplicate failures for the same file version within 1 hour.</t>
  </si>
  <si>
    <t>Retry analysis</t>
  </si>
  <si>
    <t>Analysis failed for Security Policy.pdf</t>
  </si>
  <si>
    <t>We could not map enough text to compliance controls. Try re-uploading a searchable PDF or categorize the file before re-running analysis.</t>
  </si>
  <si>
    <t>Per failed job</t>
  </si>
  <si>
    <t>High</t>
  </si>
  <si>
    <t>Product + ML</t>
  </si>
  <si>
    <t>AI-003</t>
  </si>
  <si>
    <t>Risk</t>
  </si>
  <si>
    <t>Critical finding detected</t>
  </si>
  <si>
    <t>AI Analysis → Risk Review</t>
  </si>
  <si>
    <t>Owner, Admin</t>
  </si>
  <si>
    <t>In-app, Email, Slack (future)</t>
  </si>
  <si>
    <t>A new critical-severity finding is created by AI or escalated from analyst review.</t>
  </si>
  <si>
    <t>Highlight the control, why it matters, probable business risk, and the top remediation step.</t>
  </si>
  <si>
    <t>Never suppress for owners; batch only if more than 3 critical findings are generated in one analysis run.</t>
  </si>
  <si>
    <t>Open critical finding</t>
  </si>
  <si>
    <t>Critical gap: Cardholder data retention controls missing</t>
  </si>
  <si>
    <t>AI flagged a critical PCI DSS issue with no supporting retention-control evidence. Assign an owner and upload supporting policy or remediation proof.</t>
  </si>
  <si>
    <t>Immediate</t>
  </si>
  <si>
    <t>Critical</t>
  </si>
  <si>
    <t>Compliance Ops</t>
  </si>
  <si>
    <t>AI-004</t>
  </si>
  <si>
    <t>High-risk finding cluster detected</t>
  </si>
  <si>
    <t>3 or more high-severity findings are created in one analysis job or in the same framework within 24 hours.</t>
  </si>
  <si>
    <t>Group related findings into a single narrative and recommend a bundled remediation path.</t>
  </si>
  <si>
    <t>Suppress if a critical finding notification already covers the same cluster.</t>
  </si>
  <si>
    <t>Review grouped risks</t>
  </si>
  <si>
    <t>High-risk pattern detected in PCI DSS access controls</t>
  </si>
  <si>
    <t>AI grouped 4 high-risk findings around access control and evidence coverage. Addressing quarterly access reviews may close multiple gaps at once.</t>
  </si>
  <si>
    <t>Max once per 24h per framework</t>
  </si>
  <si>
    <t>AI-005</t>
  </si>
  <si>
    <t>Evidence</t>
  </si>
  <si>
    <t>Evidence expires in 30 days</t>
  </si>
  <si>
    <t>Evidence Management</t>
  </si>
  <si>
    <t>In-app, Email digest</t>
  </si>
  <si>
    <t>A time-bound document or artifact is expected to expire within 30 days.</t>
  </si>
  <si>
    <t>Identify expiring evidence, impacted controls, and what replacement evidence to gather.</t>
  </si>
  <si>
    <t>Only notify if the evidence is attached to at least one active control or open finding.</t>
  </si>
  <si>
    <t>Refresh evidence</t>
  </si>
  <si>
    <t>3 evidence items expire next month</t>
  </si>
  <si>
    <t>AI identified evidence that will soon become stale for PCI DSS and HIPAA controls. Refreshing these files now will prevent audit readiness drift.</t>
  </si>
  <si>
    <t>Weekly</t>
  </si>
  <si>
    <t>Product</t>
  </si>
  <si>
    <t>AI-006</t>
  </si>
  <si>
    <t>Evidence expires in 7 days</t>
  </si>
  <si>
    <t>A time-bound document or artifact is expected to expire within 7 days.</t>
  </si>
  <si>
    <t>Escalate with exact control impact and recommended assignee.</t>
  </si>
  <si>
    <t>Suppress after replacement evidence is uploaded or due date is extended.</t>
  </si>
  <si>
    <t>Replace evidence now</t>
  </si>
  <si>
    <t>Urgent: MFA review evidence expires in 7 days</t>
  </si>
  <si>
    <t>This evidence supports active compliance controls and will age out soon. Upload updated proof to avoid a downgrade in control coverage.</t>
  </si>
  <si>
    <t>Daily until resolved</t>
  </si>
  <si>
    <t>AI-007</t>
  </si>
  <si>
    <t>Remediation</t>
  </si>
  <si>
    <t>Remediation task assigned</t>
  </si>
  <si>
    <t>Risk Review → Remediation</t>
  </si>
  <si>
    <t>Assigned User</t>
  </si>
  <si>
    <t>A finding is assigned to a user for remediation.</t>
  </si>
  <si>
    <t>Summarize the finding, explain why the user was assigned, and recommend the first proof artifact to upload.</t>
  </si>
  <si>
    <t>Suppress if assignment happens while the user is actively on the finding detail page.</t>
  </si>
  <si>
    <t>Start remediation</t>
  </si>
  <si>
    <t>You were assigned a remediation task</t>
  </si>
  <si>
    <t>AI recommends starting with evidence upload: provide the latest access review export and owner approval to address this control gap.</t>
  </si>
  <si>
    <t>Per assignment</t>
  </si>
  <si>
    <t>AI-008</t>
  </si>
  <si>
    <t>Remediation due soon</t>
  </si>
  <si>
    <t>Assigned User, Admin</t>
  </si>
  <si>
    <t>A remediation task due date is within 3 days and task remains open or in progress.</t>
  </si>
  <si>
    <t>Remind with remaining work, blockers inferred from missing evidence, and a recommended completion path.</t>
  </si>
  <si>
    <t>Suppress if user completed a meaningful action on the task within the last 12 hours.</t>
  </si>
  <si>
    <t>Update task</t>
  </si>
  <si>
    <t>Task due in 3 days: Upload audit log evidence</t>
  </si>
  <si>
    <t>This remediation is close to deadline. AI suggests adding the Q1 audit-log export and linking it to the finding to move the task into review.</t>
  </si>
  <si>
    <t>Daily</t>
  </si>
  <si>
    <t>AI-009</t>
  </si>
  <si>
    <t>Remediation overdue</t>
  </si>
  <si>
    <t>Assigned User, Admin, Owner</t>
  </si>
  <si>
    <t>A remediation task passes its due date while still unresolved.</t>
  </si>
  <si>
    <t>Escalate overdue impact, mention related findings, and recommend reassignment or deadline reset if blocked.</t>
  </si>
  <si>
    <t>Suppress after explicit acknowledgment, reassignment, or deadline change.</t>
  </si>
  <si>
    <t>Resolve overdue task</t>
  </si>
  <si>
    <t>Overdue remediation is blocking compliance progress</t>
  </si>
  <si>
    <t>A high-risk remediation is past due and still affects open controls. Reassign, update the deadline, or upload evidence to prevent score decay.</t>
  </si>
  <si>
    <t>Daily until acknowledged</t>
  </si>
  <si>
    <t>AI-010</t>
  </si>
  <si>
    <t>Score</t>
  </si>
  <si>
    <t>Compliance score dropped materially</t>
  </si>
  <si>
    <t>Dashboard Monitoring</t>
  </si>
  <si>
    <t>Overall or framework score drops by 5+ points week-over-week or after a new analysis run.</t>
  </si>
  <si>
    <t>Explain the drivers of decline and point to the fewest actions needed to recover the lost score.</t>
  </si>
  <si>
    <t>Suppress if the score change is already explained by an open acknowledged incident or one active critical alert.</t>
  </si>
  <si>
    <t>Review score drivers</t>
  </si>
  <si>
    <t>Compliance score fell 7 points this week</t>
  </si>
  <si>
    <t>The drop is mainly tied to expiring evidence and two new access-control findings. Replacing stale evidence may recover 3 points quickly.</t>
  </si>
  <si>
    <t>Max once per week per scope</t>
  </si>
  <si>
    <t>Product + Analytics</t>
  </si>
  <si>
    <t>AI-011</t>
  </si>
  <si>
    <t>Progress</t>
  </si>
  <si>
    <t>Framework milestone reached</t>
  </si>
  <si>
    <t>In-app</t>
  </si>
  <si>
    <t>A framework reaches a milestone such as 50%, 75%, or 90% control coverage.</t>
  </si>
  <si>
    <t>Celebrate progress and recommend the highest-leverage next controls to close.</t>
  </si>
  <si>
    <t>Suppress if user disabled celebratory notifications.</t>
  </si>
  <si>
    <t>See next best controls</t>
  </si>
  <si>
    <t>PCI DSS reached 75% control coverage</t>
  </si>
  <si>
    <t>Great progress. AI recommends focusing next on evidence refresh for access review and vendor management to move toward 90%.</t>
  </si>
  <si>
    <t>Per milestone</t>
  </si>
  <si>
    <t>Low</t>
  </si>
  <si>
    <t>AI-012</t>
  </si>
  <si>
    <t>Adoption</t>
  </si>
  <si>
    <t>Compliance program appears stalled</t>
  </si>
  <si>
    <t>Program Adoption</t>
  </si>
  <si>
    <t>Email, In-app</t>
  </si>
  <si>
    <t>No document uploads, task updates, or analysis runs for 14 days while open findings remain.</t>
  </si>
  <si>
    <t>Nudge with progress summary, unresolved blockers, and one recommended restart action.</t>
  </si>
  <si>
    <t>Suppress for dormant sandbox orgs or trial accounts with no frameworks enabled.</t>
  </si>
  <si>
    <t>Resume work</t>
  </si>
  <si>
    <t>Your compliance program looks inactive</t>
  </si>
  <si>
    <t>There are still 6 open findings, but no recent activity. AI suggests uploading refreshed policy evidence or assigning the top overdue remediation first.</t>
  </si>
  <si>
    <t>Growth + Product</t>
  </si>
  <si>
    <t>AI-013</t>
  </si>
  <si>
    <t>Reporting</t>
  </si>
  <si>
    <t>Audit report ready</t>
  </si>
  <si>
    <t>Requester, Owner, Admin</t>
  </si>
  <si>
    <t>A requested report finishes generation successfully.</t>
  </si>
  <si>
    <t>Summarize report scope, freshness, and suggested review order.</t>
  </si>
  <si>
    <t>Suppress if requester is already on the report page at completion.</t>
  </si>
  <si>
    <t>Open report</t>
  </si>
  <si>
    <t>Your compliance gap report is ready</t>
  </si>
  <si>
    <t>The report includes open findings, evidence coverage, and recommended remediation priorities. Review high-risk gaps before sharing externally.</t>
  </si>
  <si>
    <t>Per report</t>
  </si>
  <si>
    <t>AI-014</t>
  </si>
  <si>
    <t>Auditor Access</t>
  </si>
  <si>
    <t>Auditor share link expiring</t>
  </si>
  <si>
    <t>Reporting → Auditor Access</t>
  </si>
  <si>
    <t>An external auditor access link will expire within 48 hours.</t>
  </si>
  <si>
    <t>Mention which report is affected and suggest extending access only if audit activity is still active.</t>
  </si>
  <si>
    <t>Suppress if the audit window is already closed or the link was unused.</t>
  </si>
  <si>
    <t>Manage auditor access</t>
  </si>
  <si>
    <t>Auditor access expires in 48 hours</t>
  </si>
  <si>
    <t>Your external auditor link for the PCI DSS gap report will expire soon. Extend access only if the audit review is still underway.</t>
  </si>
  <si>
    <t>Once per share link</t>
  </si>
  <si>
    <t>AI-015</t>
  </si>
  <si>
    <t>Policy or evidence appears stale</t>
  </si>
  <si>
    <t>AI detects a policy or artifact is older than the configured review cadence or contradicts newer evidence.</t>
  </si>
  <si>
    <t>Explain why the content looks stale and identify the likely replacement or review owner.</t>
  </si>
  <si>
    <t>Suppress if a newer version was uploaded but not yet processed.</t>
  </si>
  <si>
    <t>Review stale content</t>
  </si>
  <si>
    <t>Password policy may be outdated</t>
  </si>
  <si>
    <t>AI detected that the password policy appears older than the review cadence and may not reflect current MFA settings. Confirm or replace the document.</t>
  </si>
  <si>
    <t>AI-016</t>
  </si>
  <si>
    <t>Possible duplicate evidence detected</t>
  </si>
  <si>
    <t>Admin, Analyst</t>
  </si>
  <si>
    <t>AI detects near-duplicate files attached to the same control or finding.</t>
  </si>
  <si>
    <t>Recommend which file version to retain and which duplicates to archive.</t>
  </si>
  <si>
    <t>Suppress if duplicate files differ by date and are intentionally versioned.</t>
  </si>
  <si>
    <t>Review duplicates</t>
  </si>
  <si>
    <t>Duplicate evidence may be cluttering this control</t>
  </si>
  <si>
    <t>AI found two near-identical files attached to the same control. Keeping the newest version may reduce reviewer confusion.</t>
  </si>
  <si>
    <t>Per duplicate cluster</t>
  </si>
  <si>
    <t>Future</t>
  </si>
  <si>
    <t>AI-017</t>
  </si>
  <si>
    <t>Framework Update</t>
  </si>
  <si>
    <t>Framework update may affect your controls</t>
  </si>
  <si>
    <t>Continuous Monitoring</t>
  </si>
  <si>
    <t>A compliance framework mapping or rule set is updated and overlaps enabled controls.</t>
  </si>
  <si>
    <t>Summarize impacted controls, likely documentation gaps, and the recommended review scope.</t>
  </si>
  <si>
    <t>Suppress if the update only changes metadata and does not affect mapped controls.</t>
  </si>
  <si>
    <t>Review framework update</t>
  </si>
  <si>
    <t>PCI DSS rule updates may impact 6 controls</t>
  </si>
  <si>
    <t>AI found six enabled controls that could require updated evidence or policy language. Review the impacted controls before the next audit cycle.</t>
  </si>
  <si>
    <t>Per framework update</t>
  </si>
  <si>
    <t>AI-018</t>
  </si>
  <si>
    <t>Vendor / Third Party</t>
  </si>
  <si>
    <t>Missing vendor security evidence</t>
  </si>
  <si>
    <t>AI detects a vendor-related control without supporting contract, questionnaire, or security documentation.</t>
  </si>
  <si>
    <t>Identify the vendor gap and recommend the exact type of evidence to request.</t>
  </si>
  <si>
    <t>Escalate only for high-risk vendors or controls mapped to active frameworks.</t>
  </si>
  <si>
    <t>Request vendor evidence</t>
  </si>
  <si>
    <t>Vendor security evidence missing for payment processor</t>
  </si>
  <si>
    <t>AI could not find a current questionnaire or contract evidence for a high-impact vendor. Request updated security documentation before the next audit review.</t>
  </si>
  <si>
    <t>Weekly digest or per critical vendor</t>
  </si>
  <si>
    <t>Notification Portfolio Summary</t>
  </si>
  <si>
    <t>Total notifications</t>
  </si>
  <si>
    <t>By channel</t>
  </si>
  <si>
    <t>MVP notifications</t>
  </si>
  <si>
    <t>Future notifications</t>
  </si>
  <si>
    <t>Email</t>
  </si>
  <si>
    <t>Needs priority review</t>
  </si>
  <si>
    <t>Slack</t>
  </si>
  <si>
    <t>By priority</t>
  </si>
  <si>
    <t>By category</t>
  </si>
  <si>
    <t>Template ID</t>
  </si>
  <si>
    <t>Notification Category</t>
  </si>
  <si>
    <t>Tone</t>
  </si>
  <si>
    <t>Subject / Title</t>
  </si>
  <si>
    <t>Body</t>
  </si>
  <si>
    <t>Default CTA</t>
  </si>
  <si>
    <t>Personalization Tokens</t>
  </si>
  <si>
    <t>Usage Notes</t>
  </si>
  <si>
    <t>TPL-001</t>
  </si>
  <si>
    <t>Direct / urgent</t>
  </si>
  <si>
    <t>Critical compliance gap detected</t>
  </si>
  <si>
    <t>AI found a high-impact control gap that could materially affect audit readiness. Review the finding details, owner, and recommended remediation steps now.</t>
  </si>
  <si>
    <t>{{org_name}}, {{framework}}, {{control_title}}, {{severity}}</t>
  </si>
  <si>
    <t>Use for critical and high-severity events.</t>
  </si>
  <si>
    <t>TPL-002</t>
  </si>
  <si>
    <t>Action-oriented</t>
  </si>
  <si>
    <t>Evidence expires soon</t>
  </si>
  <si>
    <t>This evidence supports active controls and will expire soon. Replace or refresh it to avoid a drop in control coverage.</t>
  </si>
  <si>
    <t>{{doc_name}}, {{days_left}}, {{framework}}</t>
  </si>
  <si>
    <t>Best for 7-day and 30-day expiry reminders.</t>
  </si>
  <si>
    <t>TPL-003</t>
  </si>
  <si>
    <t>Accountable</t>
  </si>
  <si>
    <t>Task due soon</t>
  </si>
  <si>
    <t>Your remediation task is approaching its deadline. AI recommends the fastest next proof artifact to move this finding into review.</t>
  </si>
  <si>
    <t>{{task_name}}, {{due_date}}, {{finding_title}}</t>
  </si>
  <si>
    <t>Send daily only when meaningful progress is absent.</t>
  </si>
  <si>
    <t>TPL-004</t>
  </si>
  <si>
    <t>Executive</t>
  </si>
  <si>
    <t>Compliance score dropped</t>
  </si>
  <si>
    <t>Your compliance score declined. AI identified the likely drivers and the fewest actions needed to recover the lost score.</t>
  </si>
  <si>
    <t>{{org_name}}, {{score_delta}}, {{framework}}</t>
  </si>
  <si>
    <t>Best for owner/admin stakeholders.</t>
  </si>
  <si>
    <t>TPL-005</t>
  </si>
  <si>
    <t>Informative</t>
  </si>
  <si>
    <t>Report ready</t>
  </si>
  <si>
    <t>Your requested report is complete. Review the summary and validate high-risk items before sharing externally.</t>
  </si>
  <si>
    <t>{{report_name}}, {{generated_at}}</t>
  </si>
  <si>
    <t>Use when report generation completes.</t>
  </si>
  <si>
    <t>TPL-006</t>
  </si>
  <si>
    <t>Coaching</t>
  </si>
  <si>
    <t>There has been little recent activity while open findings remain. AI suggests a simple restart action to regain momentum.</t>
  </si>
  <si>
    <t>{{open_findings}}, {{recommended_action}}</t>
  </si>
  <si>
    <t>Use sparingly; weekly at most.</t>
  </si>
  <si>
    <t>TPL-007</t>
  </si>
  <si>
    <t>Professional</t>
  </si>
  <si>
    <t>Auditor access expires soon</t>
  </si>
  <si>
    <t>An external auditor link is about to expire. Extend access only if the review is still active.</t>
  </si>
  <si>
    <t>{{report_name}}, {{expires_at}}</t>
  </si>
  <si>
    <t>Avoid sending if the link was never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</si>
</sst>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6"/>
      <color rgb="FFFFFFFF"/>
      <name val="Calibri"/>
    </font>
    <font>
      <b/>
      <sz val="11"/>
      <color rgb="FF1F1F1F"/>
      <name val="Calibri"/>
    </font>
    <font>
      <b/>
      <sz val="15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0" fillId="0" borderId="0" xfId="0"/>
    <xf numFmtId="0" fontId="6" fillId="2" borderId="0" xfId="0" applyFont="1" applyFill="1"/>
  </cellXfs>
  <cellStyles count="1">
    <cellStyle name="Normal" xfId="0" builtinId="0"/>
  </cellStyles>
  <dxfs count="10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419100</xdr:colOff>
      <xdr:row>8</xdr:row>
      <xdr:rowOff>853440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DEB0A730-BAC9-7AF4-F310-6809921E4B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419100</xdr:colOff>
      <xdr:row>8</xdr:row>
      <xdr:rowOff>853440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850200F1-565F-26C2-C757-486F77DA3CA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ssageTemplates" displayName="MessageTemplates" ref="A1:I8">
  <autoFilter ref="A1:I8" xr:uid="{00000000-0009-0000-0100-000002000000}"/>
  <tableColumns count="9">
    <tableColumn id="1" xr3:uid="{00000000-0010-0000-0100-000001000000}" name="Template ID"/>
    <tableColumn id="2" xr3:uid="{00000000-0010-0000-0100-000002000000}" name="Notification Category"/>
    <tableColumn id="3" xr3:uid="{00000000-0010-0000-0100-000003000000}" name="Channel"/>
    <tableColumn id="4" xr3:uid="{00000000-0010-0000-0100-000004000000}" name="Tone"/>
    <tableColumn id="5" xr3:uid="{00000000-0010-0000-0100-000005000000}" name="Subject / Title"/>
    <tableColumn id="6" xr3:uid="{00000000-0010-0000-0100-000006000000}" name="Body"/>
    <tableColumn id="7" xr3:uid="{00000000-0010-0000-0100-000007000000}" name="Default CTA"/>
    <tableColumn id="8" xr3:uid="{00000000-0010-0000-0100-000008000000}" name="Personalization Tokens"/>
    <tableColumn id="9" xr3:uid="{00000000-0010-0000-0100-000009000000}" name="Usage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showGridLines="0" workbookViewId="0">
      <selection sqref="A1:E1"/>
    </sheetView>
  </sheetViews>
  <sheetFormatPr defaultRowHeight="14.4" x14ac:dyDescent="0.3"/>
  <cols>
    <col min="1" max="1" width="20" customWidth="1"/>
    <col min="2" max="2" width="110" customWidth="1"/>
  </cols>
  <sheetData>
    <row r="1" spans="1:5" ht="21" x14ac:dyDescent="0.4">
      <c r="A1" s="9" t="s">
        <v>0</v>
      </c>
      <c r="B1" s="10"/>
      <c r="C1" s="10"/>
      <c r="D1" s="10"/>
      <c r="E1" s="10"/>
    </row>
    <row r="3" spans="1:5" ht="40.049999999999997" customHeight="1" x14ac:dyDescent="0.3">
      <c r="A3" s="1" t="s">
        <v>1</v>
      </c>
      <c r="B3" s="2" t="s">
        <v>2</v>
      </c>
    </row>
    <row r="4" spans="1:5" ht="40.049999999999997" customHeight="1" x14ac:dyDescent="0.3">
      <c r="A4" s="1" t="s">
        <v>3</v>
      </c>
      <c r="B4" s="2" t="s">
        <v>4</v>
      </c>
    </row>
    <row r="5" spans="1:5" ht="40.049999999999997" customHeight="1" x14ac:dyDescent="0.3">
      <c r="A5" s="1" t="s">
        <v>5</v>
      </c>
      <c r="B5" s="2" t="s">
        <v>6</v>
      </c>
    </row>
    <row r="6" spans="1:5" ht="40.049999999999997" customHeight="1" x14ac:dyDescent="0.3">
      <c r="A6" s="1" t="s">
        <v>7</v>
      </c>
      <c r="B6" s="2" t="s">
        <v>8</v>
      </c>
    </row>
    <row r="7" spans="1:5" ht="40.049999999999997" customHeight="1" x14ac:dyDescent="0.3">
      <c r="A7" s="1" t="s">
        <v>9</v>
      </c>
      <c r="B7" s="2" t="s">
        <v>10</v>
      </c>
    </row>
    <row r="8" spans="1:5" ht="40.049999999999997" customHeight="1" x14ac:dyDescent="0.3">
      <c r="A8" s="1" t="s">
        <v>11</v>
      </c>
      <c r="B8" s="2" t="s">
        <v>12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showGridLines="0" tabSelected="1" topLeftCell="A16" workbookViewId="0">
      <selection activeCell="H6" sqref="H6"/>
    </sheetView>
  </sheetViews>
  <sheetFormatPr defaultRowHeight="14.4" x14ac:dyDescent="0.3"/>
  <cols>
    <col min="1" max="1" width="12" customWidth="1"/>
    <col min="2" max="2" width="17" customWidth="1"/>
    <col min="3" max="3" width="28" customWidth="1"/>
    <col min="4" max="5" width="24" customWidth="1"/>
    <col min="6" max="6" width="22" customWidth="1"/>
    <col min="7" max="8" width="42" customWidth="1"/>
    <col min="9" max="9" width="38" customWidth="1"/>
    <col min="10" max="10" width="18" customWidth="1"/>
    <col min="11" max="11" width="32" customWidth="1"/>
    <col min="12" max="12" width="46" customWidth="1"/>
    <col min="13" max="13" width="18" customWidth="1"/>
    <col min="14" max="14" width="14" customWidth="1"/>
    <col min="15" max="16" width="9" customWidth="1"/>
    <col min="17" max="17" width="11" customWidth="1"/>
    <col min="18" max="18" width="10" customWidth="1"/>
    <col min="19" max="19" width="15" customWidth="1"/>
    <col min="20" max="20" width="12" customWidth="1"/>
    <col min="21" max="21" width="14" customWidth="1"/>
    <col min="22" max="22" width="21" customWidth="1"/>
    <col min="23" max="26" width="12" customWidth="1"/>
  </cols>
  <sheetData>
    <row r="1" spans="1:26" ht="28.8" x14ac:dyDescent="0.3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8" t="s">
        <v>36</v>
      </c>
      <c r="Y1" s="8" t="s">
        <v>37</v>
      </c>
      <c r="Z1" s="8" t="s">
        <v>38</v>
      </c>
    </row>
    <row r="2" spans="1:26" ht="72" customHeight="1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4">
        <v>3</v>
      </c>
      <c r="P2" s="4">
        <v>3</v>
      </c>
      <c r="Q2" s="4">
        <v>5</v>
      </c>
      <c r="R2" s="5">
        <f t="shared" ref="R2:R19" si="0">O2*2+P2*2+Q2</f>
        <v>17</v>
      </c>
      <c r="S2" s="6" t="str">
        <f t="shared" ref="S2:S19" si="1">IF(R2&gt;=22,"Critical",IF(R2&gt;=18,"High",IF(R2&gt;=12,"Medium","Low")))</f>
        <v>Medium</v>
      </c>
      <c r="T2" s="6" t="str">
        <f t="shared" ref="T2:T19" si="2">IF(N2=S2,"Yes","Review")</f>
        <v>Yes</v>
      </c>
      <c r="U2" s="5">
        <f t="shared" ref="U2:U19" si="3">IF(S2="Critical",4,IF(S2="High",24,IF(S2="Medium",72,168)))</f>
        <v>72</v>
      </c>
      <c r="V2" s="2" t="s">
        <v>53</v>
      </c>
      <c r="W2" s="2" t="s">
        <v>54</v>
      </c>
      <c r="X2" s="6">
        <f t="shared" ref="X2:X19" si="4">IF(ISNUMBER(SEARCH("In-app",F2)),1,0)</f>
        <v>1</v>
      </c>
      <c r="Y2" s="6">
        <f t="shared" ref="Y2:Y19" si="5">IF(ISNUMBER(SEARCH("Email",F2)),1,0)</f>
        <v>1</v>
      </c>
      <c r="Z2" s="6">
        <f t="shared" ref="Z2:Z19" si="6">IF(ISNUMBER(SEARCH("Slack",F2)),1,0)</f>
        <v>0</v>
      </c>
    </row>
    <row r="3" spans="1:26" ht="72" customHeight="1" x14ac:dyDescent="0.3">
      <c r="A3" s="2" t="s">
        <v>55</v>
      </c>
      <c r="B3" s="2" t="s">
        <v>40</v>
      </c>
      <c r="C3" s="2" t="s">
        <v>56</v>
      </c>
      <c r="D3" s="2" t="s">
        <v>42</v>
      </c>
      <c r="E3" s="2" t="s">
        <v>43</v>
      </c>
      <c r="F3" s="2" t="s">
        <v>44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4">
        <v>4</v>
      </c>
      <c r="P3" s="4">
        <v>4</v>
      </c>
      <c r="Q3" s="4">
        <v>5</v>
      </c>
      <c r="R3" s="5">
        <f t="shared" si="0"/>
        <v>21</v>
      </c>
      <c r="S3" s="6" t="str">
        <f t="shared" si="1"/>
        <v>High</v>
      </c>
      <c r="T3" s="6" t="str">
        <f t="shared" si="2"/>
        <v>Yes</v>
      </c>
      <c r="U3" s="5">
        <f t="shared" si="3"/>
        <v>24</v>
      </c>
      <c r="V3" s="2" t="s">
        <v>65</v>
      </c>
      <c r="W3" s="2" t="s">
        <v>54</v>
      </c>
      <c r="X3" s="6">
        <f t="shared" si="4"/>
        <v>1</v>
      </c>
      <c r="Y3" s="6">
        <f t="shared" si="5"/>
        <v>1</v>
      </c>
      <c r="Z3" s="6">
        <f t="shared" si="6"/>
        <v>0</v>
      </c>
    </row>
    <row r="4" spans="1:26" ht="72" customHeight="1" x14ac:dyDescent="0.3">
      <c r="A4" s="2" t="s">
        <v>66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71</v>
      </c>
      <c r="G4" s="2" t="s">
        <v>72</v>
      </c>
      <c r="H4" s="2" t="s">
        <v>73</v>
      </c>
      <c r="I4" s="2" t="s">
        <v>74</v>
      </c>
      <c r="J4" s="2" t="s">
        <v>75</v>
      </c>
      <c r="K4" s="2" t="s">
        <v>76</v>
      </c>
      <c r="L4" s="2" t="s">
        <v>77</v>
      </c>
      <c r="M4" s="2" t="s">
        <v>78</v>
      </c>
      <c r="N4" s="2" t="s">
        <v>79</v>
      </c>
      <c r="O4" s="4">
        <v>5</v>
      </c>
      <c r="P4" s="4">
        <v>5</v>
      </c>
      <c r="Q4" s="4">
        <v>4</v>
      </c>
      <c r="R4" s="5">
        <f t="shared" si="0"/>
        <v>24</v>
      </c>
      <c r="S4" s="6" t="str">
        <f t="shared" si="1"/>
        <v>Critical</v>
      </c>
      <c r="T4" s="6" t="str">
        <f t="shared" si="2"/>
        <v>Yes</v>
      </c>
      <c r="U4" s="5">
        <f t="shared" si="3"/>
        <v>4</v>
      </c>
      <c r="V4" s="2" t="s">
        <v>80</v>
      </c>
      <c r="W4" s="2" t="s">
        <v>54</v>
      </c>
      <c r="X4" s="6">
        <f t="shared" si="4"/>
        <v>1</v>
      </c>
      <c r="Y4" s="6">
        <f t="shared" si="5"/>
        <v>1</v>
      </c>
      <c r="Z4" s="6">
        <f t="shared" si="6"/>
        <v>1</v>
      </c>
    </row>
    <row r="5" spans="1:26" ht="72" customHeight="1" x14ac:dyDescent="0.3">
      <c r="A5" s="2" t="s">
        <v>81</v>
      </c>
      <c r="B5" s="2" t="s">
        <v>67</v>
      </c>
      <c r="C5" s="2" t="s">
        <v>82</v>
      </c>
      <c r="D5" s="2" t="s">
        <v>69</v>
      </c>
      <c r="E5" s="2" t="s">
        <v>43</v>
      </c>
      <c r="F5" s="2" t="s">
        <v>44</v>
      </c>
      <c r="G5" s="2" t="s">
        <v>83</v>
      </c>
      <c r="H5" s="2" t="s">
        <v>84</v>
      </c>
      <c r="I5" s="2" t="s">
        <v>85</v>
      </c>
      <c r="J5" s="2" t="s">
        <v>86</v>
      </c>
      <c r="K5" s="2" t="s">
        <v>87</v>
      </c>
      <c r="L5" s="2" t="s">
        <v>88</v>
      </c>
      <c r="M5" s="2" t="s">
        <v>89</v>
      </c>
      <c r="N5" s="2" t="s">
        <v>64</v>
      </c>
      <c r="O5" s="4">
        <v>5</v>
      </c>
      <c r="P5" s="4">
        <v>4</v>
      </c>
      <c r="Q5" s="4">
        <v>4</v>
      </c>
      <c r="R5" s="5">
        <f t="shared" si="0"/>
        <v>22</v>
      </c>
      <c r="S5" s="6" t="str">
        <f t="shared" si="1"/>
        <v>Critical</v>
      </c>
      <c r="T5" s="6" t="str">
        <f t="shared" si="2"/>
        <v>Review</v>
      </c>
      <c r="U5" s="5">
        <f t="shared" si="3"/>
        <v>4</v>
      </c>
      <c r="V5" s="2" t="s">
        <v>80</v>
      </c>
      <c r="W5" s="2" t="s">
        <v>54</v>
      </c>
      <c r="X5" s="6">
        <f t="shared" si="4"/>
        <v>1</v>
      </c>
      <c r="Y5" s="6">
        <f t="shared" si="5"/>
        <v>1</v>
      </c>
      <c r="Z5" s="6">
        <f t="shared" si="6"/>
        <v>0</v>
      </c>
    </row>
    <row r="6" spans="1:26" ht="72" customHeight="1" x14ac:dyDescent="0.3">
      <c r="A6" s="2" t="s">
        <v>90</v>
      </c>
      <c r="B6" s="2" t="s">
        <v>91</v>
      </c>
      <c r="C6" s="2" t="s">
        <v>92</v>
      </c>
      <c r="D6" s="2" t="s">
        <v>93</v>
      </c>
      <c r="E6" s="2" t="s">
        <v>43</v>
      </c>
      <c r="F6" s="2" t="s">
        <v>94</v>
      </c>
      <c r="G6" s="2" t="s">
        <v>95</v>
      </c>
      <c r="H6" s="2" t="s">
        <v>96</v>
      </c>
      <c r="I6" s="2" t="s">
        <v>97</v>
      </c>
      <c r="J6" s="2" t="s">
        <v>98</v>
      </c>
      <c r="K6" s="2" t="s">
        <v>99</v>
      </c>
      <c r="L6" s="2" t="s">
        <v>100</v>
      </c>
      <c r="M6" s="2" t="s">
        <v>101</v>
      </c>
      <c r="N6" s="2" t="s">
        <v>52</v>
      </c>
      <c r="O6" s="4">
        <v>3</v>
      </c>
      <c r="P6" s="4">
        <v>2</v>
      </c>
      <c r="Q6" s="4">
        <v>5</v>
      </c>
      <c r="R6" s="5">
        <f t="shared" si="0"/>
        <v>15</v>
      </c>
      <c r="S6" s="6" t="str">
        <f t="shared" si="1"/>
        <v>Medium</v>
      </c>
      <c r="T6" s="6" t="str">
        <f t="shared" si="2"/>
        <v>Yes</v>
      </c>
      <c r="U6" s="5">
        <f t="shared" si="3"/>
        <v>72</v>
      </c>
      <c r="V6" s="2" t="s">
        <v>102</v>
      </c>
      <c r="W6" s="2" t="s">
        <v>54</v>
      </c>
      <c r="X6" s="6">
        <f t="shared" si="4"/>
        <v>1</v>
      </c>
      <c r="Y6" s="6">
        <f t="shared" si="5"/>
        <v>1</v>
      </c>
      <c r="Z6" s="6">
        <f t="shared" si="6"/>
        <v>0</v>
      </c>
    </row>
    <row r="7" spans="1:26" ht="72" customHeight="1" x14ac:dyDescent="0.3">
      <c r="A7" s="2" t="s">
        <v>103</v>
      </c>
      <c r="B7" s="2" t="s">
        <v>91</v>
      </c>
      <c r="C7" s="2" t="s">
        <v>104</v>
      </c>
      <c r="D7" s="2" t="s">
        <v>93</v>
      </c>
      <c r="E7" s="2" t="s">
        <v>43</v>
      </c>
      <c r="F7" s="2" t="s">
        <v>44</v>
      </c>
      <c r="G7" s="2" t="s">
        <v>105</v>
      </c>
      <c r="H7" s="2" t="s">
        <v>106</v>
      </c>
      <c r="I7" s="2" t="s">
        <v>107</v>
      </c>
      <c r="J7" s="2" t="s">
        <v>108</v>
      </c>
      <c r="K7" s="2" t="s">
        <v>109</v>
      </c>
      <c r="L7" s="2" t="s">
        <v>110</v>
      </c>
      <c r="M7" s="2" t="s">
        <v>111</v>
      </c>
      <c r="N7" s="2" t="s">
        <v>64</v>
      </c>
      <c r="O7" s="4">
        <v>4</v>
      </c>
      <c r="P7" s="4">
        <v>5</v>
      </c>
      <c r="Q7" s="4">
        <v>5</v>
      </c>
      <c r="R7" s="5">
        <f t="shared" si="0"/>
        <v>23</v>
      </c>
      <c r="S7" s="6" t="str">
        <f t="shared" si="1"/>
        <v>Critical</v>
      </c>
      <c r="T7" s="6" t="str">
        <f t="shared" si="2"/>
        <v>Review</v>
      </c>
      <c r="U7" s="5">
        <f t="shared" si="3"/>
        <v>4</v>
      </c>
      <c r="V7" s="2" t="s">
        <v>102</v>
      </c>
      <c r="W7" s="2" t="s">
        <v>54</v>
      </c>
      <c r="X7" s="6">
        <f t="shared" si="4"/>
        <v>1</v>
      </c>
      <c r="Y7" s="6">
        <f t="shared" si="5"/>
        <v>1</v>
      </c>
      <c r="Z7" s="6">
        <f t="shared" si="6"/>
        <v>0</v>
      </c>
    </row>
    <row r="8" spans="1:26" ht="72" customHeight="1" x14ac:dyDescent="0.3">
      <c r="A8" s="2" t="s">
        <v>112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44</v>
      </c>
      <c r="G8" s="2" t="s">
        <v>117</v>
      </c>
      <c r="H8" s="2" t="s">
        <v>118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123</v>
      </c>
      <c r="N8" s="2" t="s">
        <v>52</v>
      </c>
      <c r="O8" s="4">
        <v>3</v>
      </c>
      <c r="P8" s="4">
        <v>3</v>
      </c>
      <c r="Q8" s="4">
        <v>5</v>
      </c>
      <c r="R8" s="5">
        <f t="shared" si="0"/>
        <v>17</v>
      </c>
      <c r="S8" s="6" t="str">
        <f t="shared" si="1"/>
        <v>Medium</v>
      </c>
      <c r="T8" s="6" t="str">
        <f t="shared" si="2"/>
        <v>Yes</v>
      </c>
      <c r="U8" s="5">
        <f t="shared" si="3"/>
        <v>72</v>
      </c>
      <c r="V8" s="2" t="s">
        <v>102</v>
      </c>
      <c r="W8" s="2" t="s">
        <v>54</v>
      </c>
      <c r="X8" s="6">
        <f t="shared" si="4"/>
        <v>1</v>
      </c>
      <c r="Y8" s="6">
        <f t="shared" si="5"/>
        <v>1</v>
      </c>
      <c r="Z8" s="6">
        <f t="shared" si="6"/>
        <v>0</v>
      </c>
    </row>
    <row r="9" spans="1:26" ht="72" customHeight="1" x14ac:dyDescent="0.3">
      <c r="A9" s="2" t="s">
        <v>124</v>
      </c>
      <c r="B9" s="2" t="s">
        <v>113</v>
      </c>
      <c r="C9" s="2" t="s">
        <v>125</v>
      </c>
      <c r="D9" s="2" t="s">
        <v>115</v>
      </c>
      <c r="E9" s="2" t="s">
        <v>126</v>
      </c>
      <c r="F9" s="2" t="s">
        <v>44</v>
      </c>
      <c r="G9" s="2" t="s">
        <v>127</v>
      </c>
      <c r="H9" s="2" t="s">
        <v>128</v>
      </c>
      <c r="I9" s="2" t="s">
        <v>129</v>
      </c>
      <c r="J9" s="2" t="s">
        <v>130</v>
      </c>
      <c r="K9" s="2" t="s">
        <v>131</v>
      </c>
      <c r="L9" s="2" t="s">
        <v>132</v>
      </c>
      <c r="M9" s="2" t="s">
        <v>133</v>
      </c>
      <c r="N9" s="2" t="s">
        <v>64</v>
      </c>
      <c r="O9" s="4">
        <v>4</v>
      </c>
      <c r="P9" s="4">
        <v>4</v>
      </c>
      <c r="Q9" s="4">
        <v>5</v>
      </c>
      <c r="R9" s="5">
        <f t="shared" si="0"/>
        <v>21</v>
      </c>
      <c r="S9" s="6" t="str">
        <f t="shared" si="1"/>
        <v>High</v>
      </c>
      <c r="T9" s="6" t="str">
        <f t="shared" si="2"/>
        <v>Yes</v>
      </c>
      <c r="U9" s="5">
        <f t="shared" si="3"/>
        <v>24</v>
      </c>
      <c r="V9" s="2" t="s">
        <v>102</v>
      </c>
      <c r="W9" s="2" t="s">
        <v>54</v>
      </c>
      <c r="X9" s="6">
        <f t="shared" si="4"/>
        <v>1</v>
      </c>
      <c r="Y9" s="6">
        <f t="shared" si="5"/>
        <v>1</v>
      </c>
      <c r="Z9" s="6">
        <f t="shared" si="6"/>
        <v>0</v>
      </c>
    </row>
    <row r="10" spans="1:26" ht="72" customHeight="1" x14ac:dyDescent="0.3">
      <c r="A10" s="2" t="s">
        <v>134</v>
      </c>
      <c r="B10" s="2" t="s">
        <v>113</v>
      </c>
      <c r="C10" s="2" t="s">
        <v>135</v>
      </c>
      <c r="D10" s="2" t="s">
        <v>115</v>
      </c>
      <c r="E10" s="2" t="s">
        <v>136</v>
      </c>
      <c r="F10" s="2" t="s">
        <v>44</v>
      </c>
      <c r="G10" s="2" t="s">
        <v>137</v>
      </c>
      <c r="H10" s="2" t="s">
        <v>138</v>
      </c>
      <c r="I10" s="2" t="s">
        <v>139</v>
      </c>
      <c r="J10" s="2" t="s">
        <v>140</v>
      </c>
      <c r="K10" s="2" t="s">
        <v>141</v>
      </c>
      <c r="L10" s="2" t="s">
        <v>142</v>
      </c>
      <c r="M10" s="2" t="s">
        <v>143</v>
      </c>
      <c r="N10" s="2" t="s">
        <v>79</v>
      </c>
      <c r="O10" s="4">
        <v>5</v>
      </c>
      <c r="P10" s="4">
        <v>5</v>
      </c>
      <c r="Q10" s="4">
        <v>5</v>
      </c>
      <c r="R10" s="5">
        <f t="shared" si="0"/>
        <v>25</v>
      </c>
      <c r="S10" s="6" t="str">
        <f t="shared" si="1"/>
        <v>Critical</v>
      </c>
      <c r="T10" s="6" t="str">
        <f t="shared" si="2"/>
        <v>Yes</v>
      </c>
      <c r="U10" s="5">
        <f t="shared" si="3"/>
        <v>4</v>
      </c>
      <c r="V10" s="2" t="s">
        <v>53</v>
      </c>
      <c r="W10" s="2" t="s">
        <v>54</v>
      </c>
      <c r="X10" s="6">
        <f t="shared" si="4"/>
        <v>1</v>
      </c>
      <c r="Y10" s="6">
        <f t="shared" si="5"/>
        <v>1</v>
      </c>
      <c r="Z10" s="6">
        <f t="shared" si="6"/>
        <v>0</v>
      </c>
    </row>
    <row r="11" spans="1:26" ht="72" customHeight="1" x14ac:dyDescent="0.3">
      <c r="A11" s="2" t="s">
        <v>144</v>
      </c>
      <c r="B11" s="2" t="s">
        <v>145</v>
      </c>
      <c r="C11" s="2" t="s">
        <v>146</v>
      </c>
      <c r="D11" s="2" t="s">
        <v>147</v>
      </c>
      <c r="E11" s="2" t="s">
        <v>70</v>
      </c>
      <c r="F11" s="2" t="s">
        <v>44</v>
      </c>
      <c r="G11" s="2" t="s">
        <v>148</v>
      </c>
      <c r="H11" s="2" t="s">
        <v>149</v>
      </c>
      <c r="I11" s="2" t="s">
        <v>150</v>
      </c>
      <c r="J11" s="2" t="s">
        <v>151</v>
      </c>
      <c r="K11" s="2" t="s">
        <v>152</v>
      </c>
      <c r="L11" s="2" t="s">
        <v>153</v>
      </c>
      <c r="M11" s="2" t="s">
        <v>154</v>
      </c>
      <c r="N11" s="2" t="s">
        <v>64</v>
      </c>
      <c r="O11" s="4">
        <v>5</v>
      </c>
      <c r="P11" s="4">
        <v>4</v>
      </c>
      <c r="Q11" s="4">
        <v>4</v>
      </c>
      <c r="R11" s="5">
        <f t="shared" si="0"/>
        <v>22</v>
      </c>
      <c r="S11" s="6" t="str">
        <f t="shared" si="1"/>
        <v>Critical</v>
      </c>
      <c r="T11" s="6" t="str">
        <f t="shared" si="2"/>
        <v>Review</v>
      </c>
      <c r="U11" s="5">
        <f t="shared" si="3"/>
        <v>4</v>
      </c>
      <c r="V11" s="2" t="s">
        <v>155</v>
      </c>
      <c r="W11" s="2" t="s">
        <v>54</v>
      </c>
      <c r="X11" s="6">
        <f t="shared" si="4"/>
        <v>1</v>
      </c>
      <c r="Y11" s="6">
        <f t="shared" si="5"/>
        <v>1</v>
      </c>
      <c r="Z11" s="6">
        <f t="shared" si="6"/>
        <v>0</v>
      </c>
    </row>
    <row r="12" spans="1:26" ht="72" customHeight="1" x14ac:dyDescent="0.3">
      <c r="A12" s="2" t="s">
        <v>156</v>
      </c>
      <c r="B12" s="2" t="s">
        <v>157</v>
      </c>
      <c r="C12" s="2" t="s">
        <v>158</v>
      </c>
      <c r="D12" s="2" t="s">
        <v>147</v>
      </c>
      <c r="E12" s="2" t="s">
        <v>43</v>
      </c>
      <c r="F12" s="2" t="s">
        <v>159</v>
      </c>
      <c r="G12" s="2" t="s">
        <v>160</v>
      </c>
      <c r="H12" s="2" t="s">
        <v>161</v>
      </c>
      <c r="I12" s="2" t="s">
        <v>162</v>
      </c>
      <c r="J12" s="2" t="s">
        <v>163</v>
      </c>
      <c r="K12" s="2" t="s">
        <v>164</v>
      </c>
      <c r="L12" s="2" t="s">
        <v>165</v>
      </c>
      <c r="M12" s="2" t="s">
        <v>166</v>
      </c>
      <c r="N12" s="2" t="s">
        <v>167</v>
      </c>
      <c r="O12" s="4">
        <v>2</v>
      </c>
      <c r="P12" s="4">
        <v>1</v>
      </c>
      <c r="Q12" s="4">
        <v>5</v>
      </c>
      <c r="R12" s="5">
        <f t="shared" si="0"/>
        <v>11</v>
      </c>
      <c r="S12" s="6" t="str">
        <f t="shared" si="1"/>
        <v>Low</v>
      </c>
      <c r="T12" s="6" t="str">
        <f t="shared" si="2"/>
        <v>Yes</v>
      </c>
      <c r="U12" s="5">
        <f t="shared" si="3"/>
        <v>168</v>
      </c>
      <c r="V12" s="2" t="s">
        <v>102</v>
      </c>
      <c r="W12" s="2" t="s">
        <v>54</v>
      </c>
      <c r="X12" s="6">
        <f t="shared" si="4"/>
        <v>1</v>
      </c>
      <c r="Y12" s="6">
        <f t="shared" si="5"/>
        <v>0</v>
      </c>
      <c r="Z12" s="6">
        <f t="shared" si="6"/>
        <v>0</v>
      </c>
    </row>
    <row r="13" spans="1:26" ht="72" customHeight="1" x14ac:dyDescent="0.3">
      <c r="A13" s="2" t="s">
        <v>168</v>
      </c>
      <c r="B13" s="2" t="s">
        <v>169</v>
      </c>
      <c r="C13" s="2" t="s">
        <v>170</v>
      </c>
      <c r="D13" s="2" t="s">
        <v>171</v>
      </c>
      <c r="E13" s="2" t="s">
        <v>70</v>
      </c>
      <c r="F13" s="2" t="s">
        <v>172</v>
      </c>
      <c r="G13" s="2" t="s">
        <v>173</v>
      </c>
      <c r="H13" s="2" t="s">
        <v>174</v>
      </c>
      <c r="I13" s="2" t="s">
        <v>175</v>
      </c>
      <c r="J13" s="2" t="s">
        <v>176</v>
      </c>
      <c r="K13" s="2" t="s">
        <v>177</v>
      </c>
      <c r="L13" s="2" t="s">
        <v>178</v>
      </c>
      <c r="M13" s="2" t="s">
        <v>101</v>
      </c>
      <c r="N13" s="2" t="s">
        <v>52</v>
      </c>
      <c r="O13" s="4">
        <v>3</v>
      </c>
      <c r="P13" s="4">
        <v>3</v>
      </c>
      <c r="Q13" s="4">
        <v>4</v>
      </c>
      <c r="R13" s="5">
        <f t="shared" si="0"/>
        <v>16</v>
      </c>
      <c r="S13" s="6" t="str">
        <f t="shared" si="1"/>
        <v>Medium</v>
      </c>
      <c r="T13" s="6" t="str">
        <f t="shared" si="2"/>
        <v>Yes</v>
      </c>
      <c r="U13" s="5">
        <f t="shared" si="3"/>
        <v>72</v>
      </c>
      <c r="V13" s="2" t="s">
        <v>179</v>
      </c>
      <c r="W13" s="2" t="s">
        <v>54</v>
      </c>
      <c r="X13" s="6">
        <f t="shared" si="4"/>
        <v>1</v>
      </c>
      <c r="Y13" s="6">
        <f t="shared" si="5"/>
        <v>1</v>
      </c>
      <c r="Z13" s="6">
        <f t="shared" si="6"/>
        <v>0</v>
      </c>
    </row>
    <row r="14" spans="1:26" ht="72" customHeight="1" x14ac:dyDescent="0.3">
      <c r="A14" s="2" t="s">
        <v>180</v>
      </c>
      <c r="B14" s="2" t="s">
        <v>181</v>
      </c>
      <c r="C14" s="2" t="s">
        <v>182</v>
      </c>
      <c r="D14" s="2" t="s">
        <v>181</v>
      </c>
      <c r="E14" s="2" t="s">
        <v>183</v>
      </c>
      <c r="F14" s="2" t="s">
        <v>44</v>
      </c>
      <c r="G14" s="2" t="s">
        <v>184</v>
      </c>
      <c r="H14" s="2" t="s">
        <v>185</v>
      </c>
      <c r="I14" s="2" t="s">
        <v>186</v>
      </c>
      <c r="J14" s="2" t="s">
        <v>187</v>
      </c>
      <c r="K14" s="2" t="s">
        <v>188</v>
      </c>
      <c r="L14" s="2" t="s">
        <v>189</v>
      </c>
      <c r="M14" s="2" t="s">
        <v>190</v>
      </c>
      <c r="N14" s="2" t="s">
        <v>52</v>
      </c>
      <c r="O14" s="4">
        <v>3</v>
      </c>
      <c r="P14" s="4">
        <v>3</v>
      </c>
      <c r="Q14" s="4">
        <v>5</v>
      </c>
      <c r="R14" s="5">
        <f t="shared" si="0"/>
        <v>17</v>
      </c>
      <c r="S14" s="6" t="str">
        <f t="shared" si="1"/>
        <v>Medium</v>
      </c>
      <c r="T14" s="6" t="str">
        <f t="shared" si="2"/>
        <v>Yes</v>
      </c>
      <c r="U14" s="5">
        <f t="shared" si="3"/>
        <v>72</v>
      </c>
      <c r="V14" s="2" t="s">
        <v>102</v>
      </c>
      <c r="W14" s="2" t="s">
        <v>54</v>
      </c>
      <c r="X14" s="6">
        <f t="shared" si="4"/>
        <v>1</v>
      </c>
      <c r="Y14" s="6">
        <f t="shared" si="5"/>
        <v>1</v>
      </c>
      <c r="Z14" s="6">
        <f t="shared" si="6"/>
        <v>0</v>
      </c>
    </row>
    <row r="15" spans="1:26" ht="72" customHeight="1" x14ac:dyDescent="0.3">
      <c r="A15" s="2" t="s">
        <v>191</v>
      </c>
      <c r="B15" s="2" t="s">
        <v>192</v>
      </c>
      <c r="C15" s="2" t="s">
        <v>193</v>
      </c>
      <c r="D15" s="2" t="s">
        <v>194</v>
      </c>
      <c r="E15" s="2" t="s">
        <v>70</v>
      </c>
      <c r="F15" s="2" t="s">
        <v>44</v>
      </c>
      <c r="G15" s="2" t="s">
        <v>195</v>
      </c>
      <c r="H15" s="2" t="s">
        <v>196</v>
      </c>
      <c r="I15" s="2" t="s">
        <v>197</v>
      </c>
      <c r="J15" s="2" t="s">
        <v>198</v>
      </c>
      <c r="K15" s="2" t="s">
        <v>199</v>
      </c>
      <c r="L15" s="2" t="s">
        <v>200</v>
      </c>
      <c r="M15" s="2" t="s">
        <v>201</v>
      </c>
      <c r="N15" s="2" t="s">
        <v>52</v>
      </c>
      <c r="O15" s="4">
        <v>3</v>
      </c>
      <c r="P15" s="4">
        <v>3</v>
      </c>
      <c r="Q15" s="4">
        <v>5</v>
      </c>
      <c r="R15" s="5">
        <f t="shared" si="0"/>
        <v>17</v>
      </c>
      <c r="S15" s="6" t="str">
        <f t="shared" si="1"/>
        <v>Medium</v>
      </c>
      <c r="T15" s="6" t="str">
        <f t="shared" si="2"/>
        <v>Yes</v>
      </c>
      <c r="U15" s="5">
        <f t="shared" si="3"/>
        <v>72</v>
      </c>
      <c r="V15" s="2" t="s">
        <v>102</v>
      </c>
      <c r="W15" s="2" t="s">
        <v>54</v>
      </c>
      <c r="X15" s="6">
        <f t="shared" si="4"/>
        <v>1</v>
      </c>
      <c r="Y15" s="6">
        <f t="shared" si="5"/>
        <v>1</v>
      </c>
      <c r="Z15" s="6">
        <f t="shared" si="6"/>
        <v>0</v>
      </c>
    </row>
    <row r="16" spans="1:26" ht="72" customHeight="1" x14ac:dyDescent="0.3">
      <c r="A16" s="2" t="s">
        <v>202</v>
      </c>
      <c r="B16" s="2" t="s">
        <v>91</v>
      </c>
      <c r="C16" s="2" t="s">
        <v>203</v>
      </c>
      <c r="D16" s="2" t="s">
        <v>93</v>
      </c>
      <c r="E16" s="2" t="s">
        <v>43</v>
      </c>
      <c r="F16" s="2" t="s">
        <v>94</v>
      </c>
      <c r="G16" s="2" t="s">
        <v>204</v>
      </c>
      <c r="H16" s="2" t="s">
        <v>205</v>
      </c>
      <c r="I16" s="2" t="s">
        <v>206</v>
      </c>
      <c r="J16" s="2" t="s">
        <v>207</v>
      </c>
      <c r="K16" s="2" t="s">
        <v>208</v>
      </c>
      <c r="L16" s="2" t="s">
        <v>209</v>
      </c>
      <c r="M16" s="2" t="s">
        <v>101</v>
      </c>
      <c r="N16" s="2" t="s">
        <v>64</v>
      </c>
      <c r="O16" s="4">
        <v>4</v>
      </c>
      <c r="P16" s="4">
        <v>3</v>
      </c>
      <c r="Q16" s="4">
        <v>4</v>
      </c>
      <c r="R16" s="5">
        <f t="shared" si="0"/>
        <v>18</v>
      </c>
      <c r="S16" s="6" t="str">
        <f t="shared" si="1"/>
        <v>High</v>
      </c>
      <c r="T16" s="6" t="str">
        <f t="shared" si="2"/>
        <v>Yes</v>
      </c>
      <c r="U16" s="5">
        <f t="shared" si="3"/>
        <v>24</v>
      </c>
      <c r="V16" s="2" t="s">
        <v>80</v>
      </c>
      <c r="W16" s="2" t="s">
        <v>54</v>
      </c>
      <c r="X16" s="6">
        <f t="shared" si="4"/>
        <v>1</v>
      </c>
      <c r="Y16" s="6">
        <f t="shared" si="5"/>
        <v>1</v>
      </c>
      <c r="Z16" s="6">
        <f t="shared" si="6"/>
        <v>0</v>
      </c>
    </row>
    <row r="17" spans="1:26" ht="72" customHeight="1" x14ac:dyDescent="0.3">
      <c r="A17" s="2" t="s">
        <v>210</v>
      </c>
      <c r="B17" s="2" t="s">
        <v>91</v>
      </c>
      <c r="C17" s="2" t="s">
        <v>211</v>
      </c>
      <c r="D17" s="2" t="s">
        <v>93</v>
      </c>
      <c r="E17" s="2" t="s">
        <v>212</v>
      </c>
      <c r="F17" s="2" t="s">
        <v>159</v>
      </c>
      <c r="G17" s="2" t="s">
        <v>213</v>
      </c>
      <c r="H17" s="2" t="s">
        <v>214</v>
      </c>
      <c r="I17" s="2" t="s">
        <v>215</v>
      </c>
      <c r="J17" s="2" t="s">
        <v>216</v>
      </c>
      <c r="K17" s="2" t="s">
        <v>217</v>
      </c>
      <c r="L17" s="2" t="s">
        <v>218</v>
      </c>
      <c r="M17" s="2" t="s">
        <v>219</v>
      </c>
      <c r="N17" s="2" t="s">
        <v>167</v>
      </c>
      <c r="O17" s="4">
        <v>2</v>
      </c>
      <c r="P17" s="4">
        <v>1</v>
      </c>
      <c r="Q17" s="4">
        <v>4</v>
      </c>
      <c r="R17" s="5">
        <f t="shared" si="0"/>
        <v>10</v>
      </c>
      <c r="S17" s="6" t="str">
        <f t="shared" si="1"/>
        <v>Low</v>
      </c>
      <c r="T17" s="6" t="str">
        <f t="shared" si="2"/>
        <v>Yes</v>
      </c>
      <c r="U17" s="5">
        <f t="shared" si="3"/>
        <v>168</v>
      </c>
      <c r="V17" s="2" t="s">
        <v>102</v>
      </c>
      <c r="W17" s="2" t="s">
        <v>220</v>
      </c>
      <c r="X17" s="6">
        <f t="shared" si="4"/>
        <v>1</v>
      </c>
      <c r="Y17" s="6">
        <f t="shared" si="5"/>
        <v>0</v>
      </c>
      <c r="Z17" s="6">
        <f t="shared" si="6"/>
        <v>0</v>
      </c>
    </row>
    <row r="18" spans="1:26" ht="72" customHeight="1" x14ac:dyDescent="0.3">
      <c r="A18" s="2" t="s">
        <v>221</v>
      </c>
      <c r="B18" s="2" t="s">
        <v>222</v>
      </c>
      <c r="C18" s="2" t="s">
        <v>223</v>
      </c>
      <c r="D18" s="2" t="s">
        <v>224</v>
      </c>
      <c r="E18" s="2" t="s">
        <v>70</v>
      </c>
      <c r="F18" s="2" t="s">
        <v>172</v>
      </c>
      <c r="G18" s="2" t="s">
        <v>225</v>
      </c>
      <c r="H18" s="2" t="s">
        <v>226</v>
      </c>
      <c r="I18" s="2" t="s">
        <v>227</v>
      </c>
      <c r="J18" s="2" t="s">
        <v>228</v>
      </c>
      <c r="K18" s="2" t="s">
        <v>229</v>
      </c>
      <c r="L18" s="2" t="s">
        <v>230</v>
      </c>
      <c r="M18" s="2" t="s">
        <v>231</v>
      </c>
      <c r="N18" s="2" t="s">
        <v>64</v>
      </c>
      <c r="O18" s="4">
        <v>4</v>
      </c>
      <c r="P18" s="4">
        <v>4</v>
      </c>
      <c r="Q18" s="4">
        <v>4</v>
      </c>
      <c r="R18" s="5">
        <f t="shared" si="0"/>
        <v>20</v>
      </c>
      <c r="S18" s="6" t="str">
        <f t="shared" si="1"/>
        <v>High</v>
      </c>
      <c r="T18" s="6" t="str">
        <f t="shared" si="2"/>
        <v>Yes</v>
      </c>
      <c r="U18" s="5">
        <f t="shared" si="3"/>
        <v>24</v>
      </c>
      <c r="V18" s="2" t="s">
        <v>80</v>
      </c>
      <c r="W18" s="2" t="s">
        <v>220</v>
      </c>
      <c r="X18" s="6">
        <f t="shared" si="4"/>
        <v>1</v>
      </c>
      <c r="Y18" s="6">
        <f t="shared" si="5"/>
        <v>1</v>
      </c>
      <c r="Z18" s="6">
        <f t="shared" si="6"/>
        <v>0</v>
      </c>
    </row>
    <row r="19" spans="1:26" ht="72" customHeight="1" x14ac:dyDescent="0.3">
      <c r="A19" s="2" t="s">
        <v>232</v>
      </c>
      <c r="B19" s="2" t="s">
        <v>233</v>
      </c>
      <c r="C19" s="2" t="s">
        <v>234</v>
      </c>
      <c r="D19" s="2" t="s">
        <v>69</v>
      </c>
      <c r="E19" s="2" t="s">
        <v>43</v>
      </c>
      <c r="F19" s="2" t="s">
        <v>94</v>
      </c>
      <c r="G19" s="2" t="s">
        <v>235</v>
      </c>
      <c r="H19" s="2" t="s">
        <v>236</v>
      </c>
      <c r="I19" s="2" t="s">
        <v>237</v>
      </c>
      <c r="J19" s="2" t="s">
        <v>238</v>
      </c>
      <c r="K19" s="2" t="s">
        <v>239</v>
      </c>
      <c r="L19" s="2" t="s">
        <v>240</v>
      </c>
      <c r="M19" s="2" t="s">
        <v>241</v>
      </c>
      <c r="N19" s="2" t="s">
        <v>64</v>
      </c>
      <c r="O19" s="4">
        <v>4</v>
      </c>
      <c r="P19" s="4">
        <v>3</v>
      </c>
      <c r="Q19" s="4">
        <v>4</v>
      </c>
      <c r="R19" s="5">
        <f t="shared" si="0"/>
        <v>18</v>
      </c>
      <c r="S19" s="6" t="str">
        <f t="shared" si="1"/>
        <v>High</v>
      </c>
      <c r="T19" s="6" t="str">
        <f t="shared" si="2"/>
        <v>Yes</v>
      </c>
      <c r="U19" s="5">
        <f t="shared" si="3"/>
        <v>24</v>
      </c>
      <c r="V19" s="2" t="s">
        <v>80</v>
      </c>
      <c r="W19" s="2" t="s">
        <v>220</v>
      </c>
      <c r="X19" s="6">
        <f t="shared" si="4"/>
        <v>1</v>
      </c>
      <c r="Y19" s="6">
        <f t="shared" si="5"/>
        <v>1</v>
      </c>
      <c r="Z19" s="6">
        <f t="shared" si="6"/>
        <v>0</v>
      </c>
    </row>
  </sheetData>
  <conditionalFormatting sqref="N2:N19">
    <cfRule type="cellIs" dxfId="9" priority="1" operator="equal">
      <formula>"Critical"</formula>
    </cfRule>
    <cfRule type="cellIs" dxfId="8" priority="2" operator="equal">
      <formula>"High"</formula>
    </cfRule>
    <cfRule type="cellIs" dxfId="7" priority="3" operator="equal">
      <formula>"Medium"</formula>
    </cfRule>
    <cfRule type="cellIs" dxfId="6" priority="4" operator="equal">
      <formula>"Low"</formula>
    </cfRule>
  </conditionalFormatting>
  <conditionalFormatting sqref="S2:S19">
    <cfRule type="cellIs" dxfId="5" priority="5" operator="equal">
      <formula>"Critical"</formula>
    </cfRule>
    <cfRule type="cellIs" dxfId="4" priority="6" operator="equal">
      <formula>"High"</formula>
    </cfRule>
    <cfRule type="cellIs" dxfId="3" priority="7" operator="equal">
      <formula>"Medium"</formula>
    </cfRule>
    <cfRule type="cellIs" dxfId="2" priority="8" operator="equal">
      <formula>"Low"</formula>
    </cfRule>
  </conditionalFormatting>
  <conditionalFormatting sqref="T2:T19">
    <cfRule type="cellIs" dxfId="1" priority="9" operator="equal">
      <formula>"Review"</formula>
    </cfRule>
    <cfRule type="cellIs" dxfId="0" priority="10" operator="equal">
      <formula>"Yes"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selection sqref="A1:D1"/>
    </sheetView>
  </sheetViews>
  <sheetFormatPr defaultRowHeight="14.4" x14ac:dyDescent="0.3"/>
  <cols>
    <col min="1" max="1" width="24" customWidth="1"/>
    <col min="2" max="2" width="14" customWidth="1"/>
    <col min="4" max="4" width="24" customWidth="1"/>
    <col min="5" max="5" width="14" customWidth="1"/>
  </cols>
  <sheetData>
    <row r="1" spans="1:5" ht="19.8" x14ac:dyDescent="0.4">
      <c r="A1" s="11" t="s">
        <v>242</v>
      </c>
      <c r="B1" s="10"/>
      <c r="C1" s="10"/>
      <c r="D1" s="10"/>
    </row>
    <row r="3" spans="1:5" x14ac:dyDescent="0.3">
      <c r="A3" s="7" t="s">
        <v>243</v>
      </c>
      <c r="B3" s="2">
        <f>COUNTA('Notification Catalog'!$A$2:$A$19)</f>
        <v>18</v>
      </c>
      <c r="D3" s="7" t="s">
        <v>244</v>
      </c>
    </row>
    <row r="4" spans="1:5" x14ac:dyDescent="0.3">
      <c r="A4" s="2" t="s">
        <v>245</v>
      </c>
      <c r="B4" s="2">
        <f>COUNTIF('Notification Catalog'!$W$2:$W$19,"MVP")</f>
        <v>15</v>
      </c>
      <c r="D4" s="2" t="s">
        <v>159</v>
      </c>
      <c r="E4" s="2">
        <f>SUM('Notification Catalog'!$X$2:$X$19)</f>
        <v>18</v>
      </c>
    </row>
    <row r="5" spans="1:5" x14ac:dyDescent="0.3">
      <c r="A5" s="2" t="s">
        <v>246</v>
      </c>
      <c r="B5" s="2">
        <f>COUNTIF('Notification Catalog'!$W$2:$W$19,"Future")</f>
        <v>3</v>
      </c>
      <c r="D5" s="2" t="s">
        <v>247</v>
      </c>
      <c r="E5" s="2">
        <f>SUM('Notification Catalog'!$Y$2:$Y$19)</f>
        <v>16</v>
      </c>
    </row>
    <row r="6" spans="1:5" x14ac:dyDescent="0.3">
      <c r="A6" s="2" t="s">
        <v>248</v>
      </c>
      <c r="B6" s="2">
        <f>COUNTIF('Notification Catalog'!$T$2:$T$19,"Review")</f>
        <v>3</v>
      </c>
      <c r="D6" s="2" t="s">
        <v>249</v>
      </c>
      <c r="E6" s="2">
        <f>SUM('Notification Catalog'!$Z$2:$Z$19)</f>
        <v>1</v>
      </c>
    </row>
    <row r="8" spans="1:5" x14ac:dyDescent="0.3">
      <c r="A8" s="7" t="s">
        <v>250</v>
      </c>
    </row>
    <row r="9" spans="1:5" x14ac:dyDescent="0.3">
      <c r="A9" s="2" t="s">
        <v>79</v>
      </c>
      <c r="B9" s="2">
        <f>COUNTIF('Notification Catalog'!$N$2:$N$19,"Critical")</f>
        <v>2</v>
      </c>
      <c r="D9" s="7" t="s">
        <v>251</v>
      </c>
    </row>
    <row r="10" spans="1:5" x14ac:dyDescent="0.3">
      <c r="A10" s="2" t="s">
        <v>64</v>
      </c>
      <c r="B10" s="2">
        <f>COUNTIF('Notification Catalog'!$N$2:$N$19,"High")</f>
        <v>8</v>
      </c>
      <c r="D10" s="2" t="s">
        <v>169</v>
      </c>
      <c r="E10" s="2">
        <f>COUNTIF('Notification Catalog'!$B$2:$B$19,"Adoption")</f>
        <v>1</v>
      </c>
    </row>
    <row r="11" spans="1:5" x14ac:dyDescent="0.3">
      <c r="A11" s="2" t="s">
        <v>52</v>
      </c>
      <c r="B11" s="2">
        <f>COUNTIF('Notification Catalog'!$N$2:$N$19,"Medium")</f>
        <v>6</v>
      </c>
      <c r="D11" s="2" t="s">
        <v>40</v>
      </c>
      <c r="E11" s="2">
        <f>COUNTIF('Notification Catalog'!$B$2:$B$19,"Analysis")</f>
        <v>2</v>
      </c>
    </row>
    <row r="12" spans="1:5" x14ac:dyDescent="0.3">
      <c r="A12" s="2" t="s">
        <v>167</v>
      </c>
      <c r="B12" s="2">
        <f>COUNTIF('Notification Catalog'!$N$2:$N$19,"Low")</f>
        <v>2</v>
      </c>
      <c r="D12" s="2" t="s">
        <v>192</v>
      </c>
      <c r="E12" s="2">
        <f>COUNTIF('Notification Catalog'!$B$2:$B$19,"Auditor Access")</f>
        <v>1</v>
      </c>
    </row>
    <row r="13" spans="1:5" x14ac:dyDescent="0.3">
      <c r="D13" s="2" t="s">
        <v>91</v>
      </c>
      <c r="E13" s="2">
        <f>COUNTIF('Notification Catalog'!$B$2:$B$19,"Evidence")</f>
        <v>4</v>
      </c>
    </row>
    <row r="14" spans="1:5" x14ac:dyDescent="0.3">
      <c r="D14" s="2" t="s">
        <v>222</v>
      </c>
      <c r="E14" s="2">
        <f>COUNTIF('Notification Catalog'!$B$2:$B$19,"Framework Update")</f>
        <v>1</v>
      </c>
    </row>
    <row r="15" spans="1:5" x14ac:dyDescent="0.3">
      <c r="D15" s="2" t="s">
        <v>157</v>
      </c>
      <c r="E15" s="2">
        <f>COUNTIF('Notification Catalog'!$B$2:$B$19,"Progress")</f>
        <v>1</v>
      </c>
    </row>
    <row r="16" spans="1:5" x14ac:dyDescent="0.3">
      <c r="D16" s="2" t="s">
        <v>113</v>
      </c>
      <c r="E16" s="2">
        <f>COUNTIF('Notification Catalog'!$B$2:$B$19,"Remediation")</f>
        <v>3</v>
      </c>
    </row>
    <row r="17" spans="4:5" x14ac:dyDescent="0.3">
      <c r="D17" s="2" t="s">
        <v>181</v>
      </c>
      <c r="E17" s="2">
        <f>COUNTIF('Notification Catalog'!$B$2:$B$19,"Reporting")</f>
        <v>1</v>
      </c>
    </row>
    <row r="18" spans="4:5" x14ac:dyDescent="0.3">
      <c r="D18" s="2" t="s">
        <v>67</v>
      </c>
      <c r="E18" s="2">
        <f>COUNTIF('Notification Catalog'!$B$2:$B$19,"Risk")</f>
        <v>2</v>
      </c>
    </row>
    <row r="19" spans="4:5" x14ac:dyDescent="0.3">
      <c r="D19" s="2" t="s">
        <v>145</v>
      </c>
      <c r="E19" s="2">
        <f>COUNTIF('Notification Catalog'!$B$2:$B$19,"Score")</f>
        <v>1</v>
      </c>
    </row>
    <row r="20" spans="4:5" x14ac:dyDescent="0.3">
      <c r="D20" s="2" t="s">
        <v>233</v>
      </c>
      <c r="E20" s="2">
        <f>COUNTIF('Notification Catalog'!$B$2:$B$19,"Vendor / Third Party")</f>
        <v>1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workbookViewId="0"/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8" customWidth="1"/>
    <col min="5" max="5" width="28" customWidth="1"/>
    <col min="6" max="6" width="56" customWidth="1"/>
    <col min="7" max="7" width="20" customWidth="1"/>
    <col min="8" max="8" width="38" customWidth="1"/>
    <col min="9" max="9" width="30" customWidth="1"/>
  </cols>
  <sheetData>
    <row r="1" spans="1:9" x14ac:dyDescent="0.3">
      <c r="A1" s="8" t="s">
        <v>252</v>
      </c>
      <c r="B1" s="7" t="s">
        <v>253</v>
      </c>
      <c r="C1" s="7" t="s">
        <v>18</v>
      </c>
      <c r="D1" s="7" t="s">
        <v>254</v>
      </c>
      <c r="E1" s="7" t="s">
        <v>255</v>
      </c>
      <c r="F1" s="7" t="s">
        <v>256</v>
      </c>
      <c r="G1" s="7" t="s">
        <v>257</v>
      </c>
      <c r="H1" s="7" t="s">
        <v>258</v>
      </c>
      <c r="I1" s="7" t="s">
        <v>259</v>
      </c>
    </row>
    <row r="2" spans="1:9" ht="48" customHeight="1" x14ac:dyDescent="0.3">
      <c r="A2" s="2" t="s">
        <v>260</v>
      </c>
      <c r="B2" s="2" t="s">
        <v>67</v>
      </c>
      <c r="C2" s="2" t="s">
        <v>247</v>
      </c>
      <c r="D2" s="2" t="s">
        <v>261</v>
      </c>
      <c r="E2" s="2" t="s">
        <v>262</v>
      </c>
      <c r="F2" s="2" t="s">
        <v>263</v>
      </c>
      <c r="G2" s="2" t="s">
        <v>75</v>
      </c>
      <c r="H2" s="2" t="s">
        <v>264</v>
      </c>
      <c r="I2" s="2" t="s">
        <v>265</v>
      </c>
    </row>
    <row r="3" spans="1:9" ht="48" customHeight="1" x14ac:dyDescent="0.3">
      <c r="A3" s="2" t="s">
        <v>266</v>
      </c>
      <c r="B3" s="2" t="s">
        <v>91</v>
      </c>
      <c r="C3" s="2" t="s">
        <v>159</v>
      </c>
      <c r="D3" s="2" t="s">
        <v>267</v>
      </c>
      <c r="E3" s="2" t="s">
        <v>268</v>
      </c>
      <c r="F3" s="2" t="s">
        <v>269</v>
      </c>
      <c r="G3" s="2" t="s">
        <v>98</v>
      </c>
      <c r="H3" s="2" t="s">
        <v>270</v>
      </c>
      <c r="I3" s="2" t="s">
        <v>271</v>
      </c>
    </row>
    <row r="4" spans="1:9" ht="48" customHeight="1" x14ac:dyDescent="0.3">
      <c r="A4" s="2" t="s">
        <v>272</v>
      </c>
      <c r="B4" s="2" t="s">
        <v>113</v>
      </c>
      <c r="C4" s="2" t="s">
        <v>247</v>
      </c>
      <c r="D4" s="2" t="s">
        <v>273</v>
      </c>
      <c r="E4" s="2" t="s">
        <v>274</v>
      </c>
      <c r="F4" s="2" t="s">
        <v>275</v>
      </c>
      <c r="G4" s="2" t="s">
        <v>130</v>
      </c>
      <c r="H4" s="2" t="s">
        <v>276</v>
      </c>
      <c r="I4" s="2" t="s">
        <v>277</v>
      </c>
    </row>
    <row r="5" spans="1:9" ht="48" customHeight="1" x14ac:dyDescent="0.3">
      <c r="A5" s="2" t="s">
        <v>278</v>
      </c>
      <c r="B5" s="2" t="s">
        <v>145</v>
      </c>
      <c r="C5" s="2" t="s">
        <v>247</v>
      </c>
      <c r="D5" s="2" t="s">
        <v>279</v>
      </c>
      <c r="E5" s="2" t="s">
        <v>280</v>
      </c>
      <c r="F5" s="2" t="s">
        <v>281</v>
      </c>
      <c r="G5" s="2" t="s">
        <v>151</v>
      </c>
      <c r="H5" s="2" t="s">
        <v>282</v>
      </c>
      <c r="I5" s="2" t="s">
        <v>283</v>
      </c>
    </row>
    <row r="6" spans="1:9" ht="48" customHeight="1" x14ac:dyDescent="0.3">
      <c r="A6" s="2" t="s">
        <v>284</v>
      </c>
      <c r="B6" s="2" t="s">
        <v>181</v>
      </c>
      <c r="C6" s="2" t="s">
        <v>159</v>
      </c>
      <c r="D6" s="2" t="s">
        <v>285</v>
      </c>
      <c r="E6" s="2" t="s">
        <v>286</v>
      </c>
      <c r="F6" s="2" t="s">
        <v>287</v>
      </c>
      <c r="G6" s="2" t="s">
        <v>187</v>
      </c>
      <c r="H6" s="2" t="s">
        <v>288</v>
      </c>
      <c r="I6" s="2" t="s">
        <v>289</v>
      </c>
    </row>
    <row r="7" spans="1:9" ht="48" customHeight="1" x14ac:dyDescent="0.3">
      <c r="A7" s="2" t="s">
        <v>290</v>
      </c>
      <c r="B7" s="2" t="s">
        <v>169</v>
      </c>
      <c r="C7" s="2" t="s">
        <v>247</v>
      </c>
      <c r="D7" s="2" t="s">
        <v>291</v>
      </c>
      <c r="E7" s="2" t="s">
        <v>170</v>
      </c>
      <c r="F7" s="2" t="s">
        <v>292</v>
      </c>
      <c r="G7" s="2" t="s">
        <v>176</v>
      </c>
      <c r="H7" s="2" t="s">
        <v>293</v>
      </c>
      <c r="I7" s="2" t="s">
        <v>294</v>
      </c>
    </row>
    <row r="8" spans="1:9" ht="48" customHeight="1" x14ac:dyDescent="0.3">
      <c r="A8" s="2" t="s">
        <v>295</v>
      </c>
      <c r="B8" s="2" t="s">
        <v>192</v>
      </c>
      <c r="C8" s="2" t="s">
        <v>247</v>
      </c>
      <c r="D8" s="2" t="s">
        <v>296</v>
      </c>
      <c r="E8" s="2" t="s">
        <v>297</v>
      </c>
      <c r="F8" s="2" t="s">
        <v>298</v>
      </c>
      <c r="G8" s="2" t="s">
        <v>198</v>
      </c>
      <c r="H8" s="2" t="s">
        <v>299</v>
      </c>
      <c r="I8" s="2" t="s">
        <v>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Notification Catalog</vt:lpstr>
      <vt:lpstr>Summary</vt:lpstr>
      <vt:lpstr>Message 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Kiel Green</cp:lastModifiedBy>
  <dcterms:created xsi:type="dcterms:W3CDTF">2026-03-14T17:03:22Z</dcterms:created>
  <dcterms:modified xsi:type="dcterms:W3CDTF">2026-03-22T23:30:41Z</dcterms:modified>
</cp:coreProperties>
</file>